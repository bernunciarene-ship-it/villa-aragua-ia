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RESERVAS" sheetId="1" r:id="rId4"/>
    <sheet state="visible" name="PAGAMENTOS BOOKING (50%)" sheetId="2" r:id="rId5"/>
    <sheet state="visible" name="PASSEIO DE BARCO" sheetId="3" r:id="rId6"/>
    <sheet state="visible" name="BOOKINGDECOLAR" sheetId="4" r:id="rId7"/>
  </sheets>
  <definedNames/>
  <calcPr/>
  <extLst>
    <ext uri="GoogleSheetsCustomDataVersion2">
      <go:sheetsCustomData xmlns:go="http://customooxmlschemas.google.com/" r:id="rId8" roundtripDataChecksum="yUfDN+5PXfCHvxZLH+9aH6Bfv/gpN39+63yofOJJpkU="/>
    </ext>
  </extLst>
</workbook>
</file>

<file path=xl/sharedStrings.xml><?xml version="1.0" encoding="utf-8"?>
<sst xmlns="http://schemas.openxmlformats.org/spreadsheetml/2006/main" count="3574" uniqueCount="1878">
  <si>
    <t xml:space="preserve">PRE- RESERVAS </t>
  </si>
  <si>
    <t>DATA</t>
  </si>
  <si>
    <t>NOME</t>
  </si>
  <si>
    <t xml:space="preserve">SUITE </t>
  </si>
  <si>
    <t>TOTAL</t>
  </si>
  <si>
    <t>PAGO</t>
  </si>
  <si>
    <t>DATA PRAZO</t>
  </si>
  <si>
    <t>OBS:</t>
  </si>
  <si>
    <t>Igor Silva Kuster</t>
  </si>
  <si>
    <t>28.03 a 30.03</t>
  </si>
  <si>
    <t>Wood</t>
  </si>
  <si>
    <t>30.08</t>
  </si>
  <si>
    <t>está vendo com a noiva</t>
  </si>
  <si>
    <t>Bruno Moraes Antunes de Oliveira</t>
  </si>
  <si>
    <t>29.09 a 29.09</t>
  </si>
  <si>
    <t>Acqua</t>
  </si>
  <si>
    <t>01.09</t>
  </si>
  <si>
    <t>não responde whats</t>
  </si>
  <si>
    <t>Gessica Luana Lienkonski</t>
  </si>
  <si>
    <t>06.09 a 08.09</t>
  </si>
  <si>
    <t>Terra</t>
  </si>
  <si>
    <t>Ivan Carlos da Silva</t>
  </si>
  <si>
    <t>11.10 a 13.10</t>
  </si>
  <si>
    <t>Fuego</t>
  </si>
  <si>
    <t>-</t>
  </si>
  <si>
    <t>mandei msg em 12.09</t>
  </si>
  <si>
    <t>Fernando Costa</t>
  </si>
  <si>
    <t>Luna</t>
  </si>
  <si>
    <t>CANCELOU OU NÃO PAGOU</t>
  </si>
  <si>
    <t>Renata Carla da Silva</t>
  </si>
  <si>
    <t>17.10 a 20.10</t>
  </si>
  <si>
    <t>Metallo</t>
  </si>
  <si>
    <t>cancelada</t>
  </si>
  <si>
    <t>PAGO TOTAL OU 50%</t>
  </si>
  <si>
    <t>Karina Klaumann</t>
  </si>
  <si>
    <t>25.10 a 27.10</t>
  </si>
  <si>
    <t>JA OCORREU A HOSPEDAGEM</t>
  </si>
  <si>
    <t>Elisangela Maria Drey</t>
  </si>
  <si>
    <t>08.10 a 11.10</t>
  </si>
  <si>
    <t>AGUARDANDO PAGAMENTO DA PRE RESERVA</t>
  </si>
  <si>
    <t>Francieli dos Santos Oliveira</t>
  </si>
  <si>
    <t>Brenda Leticia de Souza</t>
  </si>
  <si>
    <t>Tainá Gerônimo Lemos</t>
  </si>
  <si>
    <t>07.09 a 08.09</t>
  </si>
  <si>
    <t>Marlon Taynan Sabino de Moura da Silva</t>
  </si>
  <si>
    <t>Giovane Otemar Silva de Silva Junior</t>
  </si>
  <si>
    <t>06.03 a 12.03</t>
  </si>
  <si>
    <t>cancelado (esposa não terá ferias)</t>
  </si>
  <si>
    <t>Arthur Cipriano</t>
  </si>
  <si>
    <t>04.10 a 06.10</t>
  </si>
  <si>
    <t>Organic</t>
  </si>
  <si>
    <t>mandei msg em 14.09</t>
  </si>
  <si>
    <t>Alessandra Aline Ghellere Santos</t>
  </si>
  <si>
    <t>18.10 a 20.10</t>
  </si>
  <si>
    <t>Bartira Calixto</t>
  </si>
  <si>
    <t>15.11 a 18.11</t>
  </si>
  <si>
    <t>4x no cartão (331,00)</t>
  </si>
  <si>
    <t>Wagner da Silva Carvalho</t>
  </si>
  <si>
    <t>27.09 a 29.09</t>
  </si>
  <si>
    <t>Everton Daniel Rocha</t>
  </si>
  <si>
    <t>25.09 a 29.09</t>
  </si>
  <si>
    <t>não responde a msg</t>
  </si>
  <si>
    <t>Thayse de Oliveira Borges</t>
  </si>
  <si>
    <t>Aline Bosquetto Bobko</t>
  </si>
  <si>
    <t>25.10 a 28.10</t>
  </si>
  <si>
    <t>Soleil</t>
  </si>
  <si>
    <t>Eduardo Fialho</t>
  </si>
  <si>
    <t>09.10 a 16.10</t>
  </si>
  <si>
    <t>cancelado</t>
  </si>
  <si>
    <t>Josimar Duarte Moraes</t>
  </si>
  <si>
    <t>21.09 a 22.09</t>
  </si>
  <si>
    <t>Lisiane Rabistek</t>
  </si>
  <si>
    <t>12.10 a 13.10</t>
  </si>
  <si>
    <t>Carlos Guilherme Girasol Pinto</t>
  </si>
  <si>
    <t>karina klauman</t>
  </si>
  <si>
    <t>200,00 dia 04.10</t>
  </si>
  <si>
    <t>Marcelo  Vicini</t>
  </si>
  <si>
    <t>28.12 a 04.01</t>
  </si>
  <si>
    <t>esposa claudia machado</t>
  </si>
  <si>
    <t>Adriano de Paula Gouveia</t>
  </si>
  <si>
    <t>16.01 a 20.01</t>
  </si>
  <si>
    <t>Vanessa das Graças Schiavon</t>
  </si>
  <si>
    <t>28.09 a 29.09</t>
  </si>
  <si>
    <r>
      <rPr>
        <rFont val="Arial, Helvetica, sans-serif"/>
        <color rgb="FFFF0000"/>
      </rPr>
      <t>Pamela da Costa Silva Rocha</t>
    </r>
  </si>
  <si>
    <t>05.10 a 06.10</t>
  </si>
  <si>
    <t>não responde msg</t>
  </si>
  <si>
    <r>
      <rPr>
        <rFont val="Arial, Helvetica, sans-serif"/>
        <color theme="4"/>
      </rPr>
      <t>Morgana Tamara Wloch Fabris</t>
    </r>
  </si>
  <si>
    <t>Jocemar Weiss</t>
  </si>
  <si>
    <t>Antonio Carlos Silva Junior</t>
  </si>
  <si>
    <t>27.11 a 30.11</t>
  </si>
  <si>
    <t>4x 341,00</t>
  </si>
  <si>
    <t>Fabiana Gomes do Nascimento</t>
  </si>
  <si>
    <t xml:space="preserve">4x 341,00 </t>
  </si>
  <si>
    <r>
      <rPr>
        <rFont val="Arial, Helvetica, sans-serif"/>
        <color theme="4"/>
      </rPr>
      <t>Matilde Aparecida Lucio</t>
    </r>
  </si>
  <si>
    <t>26.10 a 28.10</t>
  </si>
  <si>
    <t>3 x 357,00</t>
  </si>
  <si>
    <t>Mauro Cesar Correa</t>
  </si>
  <si>
    <t>14.12 a 20.12</t>
  </si>
  <si>
    <t>Jocineia Daniela Domingiues de Andrade</t>
  </si>
  <si>
    <t>09.10 a 11.10</t>
  </si>
  <si>
    <t>Valdevino da Silva</t>
  </si>
  <si>
    <t>Josiane Aparecida Schineider Diniz</t>
  </si>
  <si>
    <r>
      <rPr>
        <rFont val="Arial, Helvetica, sans-serif"/>
        <color theme="4"/>
      </rPr>
      <t>Wagner da Silva Carvalho</t>
    </r>
  </si>
  <si>
    <t>Lucineia Mauerverk Mees</t>
  </si>
  <si>
    <t>3x cartão</t>
  </si>
  <si>
    <t>Fabio Tedrus da Silva</t>
  </si>
  <si>
    <t>27.12 a 03.01</t>
  </si>
  <si>
    <t>Luciana Padilla Gonzales</t>
  </si>
  <si>
    <t>09.01 a 16.01</t>
  </si>
  <si>
    <t>terra?metallo</t>
  </si>
  <si>
    <t>pgto pelo Belo</t>
  </si>
  <si>
    <t>1.563,00 em 30 dias</t>
  </si>
  <si>
    <t>Giziane Halama</t>
  </si>
  <si>
    <t>fuego</t>
  </si>
  <si>
    <t>pix</t>
  </si>
  <si>
    <t>Daniele de Castro Miranda</t>
  </si>
  <si>
    <t>17.12 a 20.12</t>
  </si>
  <si>
    <t>Ricardo Balbino</t>
  </si>
  <si>
    <t>luna</t>
  </si>
  <si>
    <t>cancelou</t>
  </si>
  <si>
    <t>Debora Manarin</t>
  </si>
  <si>
    <t>21.10 a 22.10</t>
  </si>
  <si>
    <t>terra</t>
  </si>
  <si>
    <t>Monica Reader</t>
  </si>
  <si>
    <t>17.12 a 23.12</t>
  </si>
  <si>
    <t>Leoberto Ferreira</t>
  </si>
  <si>
    <t>Tamires Alano Martins</t>
  </si>
  <si>
    <t>22.11 a 24.11</t>
  </si>
  <si>
    <t>wood</t>
  </si>
  <si>
    <t>Adriano Maciel Parizotto</t>
  </si>
  <si>
    <t>3x 812</t>
  </si>
  <si>
    <t>Alejandro Rodriguez</t>
  </si>
  <si>
    <t>05.01 a 08.01</t>
  </si>
  <si>
    <t>Allan Felipe Barba</t>
  </si>
  <si>
    <t>28.10 a 30.10</t>
  </si>
  <si>
    <t>Milena Juliane Alves Meister</t>
  </si>
  <si>
    <t>Alana Brehsan</t>
  </si>
  <si>
    <t>02.01 a 07.01</t>
  </si>
  <si>
    <t>Claudinei Ruduitte pressi</t>
  </si>
  <si>
    <t>Thamiris Souza Santos</t>
  </si>
  <si>
    <t>01.11 a 03.11</t>
  </si>
  <si>
    <t>Aline de Cassia Leal</t>
  </si>
  <si>
    <t>27.10 a 29.10</t>
  </si>
  <si>
    <t>cancelada - não respondeu</t>
  </si>
  <si>
    <t>Alexandre Albuquerque Graeff</t>
  </si>
  <si>
    <t>18.01 a 22.01</t>
  </si>
  <si>
    <t>13.12 a 15.12</t>
  </si>
  <si>
    <t>397 em nov e 397 check in</t>
  </si>
  <si>
    <t>13.12 a 15.13</t>
  </si>
  <si>
    <t>398 em nov e 397 check in</t>
  </si>
  <si>
    <t>Gennigs Jacinto</t>
  </si>
  <si>
    <t>Wellington Tonini do Nascimento</t>
  </si>
  <si>
    <t>14.11 a 17.11</t>
  </si>
  <si>
    <t>organic</t>
  </si>
  <si>
    <t>5 x 369 cancelou</t>
  </si>
  <si>
    <t>Fabiany Maziero Barqueiro</t>
  </si>
  <si>
    <t>Ilan</t>
  </si>
  <si>
    <t>08.11 a 10.11</t>
  </si>
  <si>
    <t>Pedro Gonzalo Churilow</t>
  </si>
  <si>
    <t>02.02 a 06.02</t>
  </si>
  <si>
    <t>Rodrigo Pereira</t>
  </si>
  <si>
    <t>cartão</t>
  </si>
  <si>
    <t>Ana Paula de Menezes</t>
  </si>
  <si>
    <t>Anderson Ferraz de Ancaltara</t>
  </si>
  <si>
    <t>09.11 a 11.11</t>
  </si>
  <si>
    <t>Karline Lauermann</t>
  </si>
  <si>
    <t>23.10 a 24.10</t>
  </si>
  <si>
    <t>acqua</t>
  </si>
  <si>
    <t>Flora Costa</t>
  </si>
  <si>
    <t xml:space="preserve">Joao Berto Oliveira </t>
  </si>
  <si>
    <t>06.12 a 08.12</t>
  </si>
  <si>
    <t>Isabel de Andrade Amato</t>
  </si>
  <si>
    <t>30.12 a 05.01</t>
  </si>
  <si>
    <t>Nathalia Shizue Ishitani</t>
  </si>
  <si>
    <t>18.12 a 23.12</t>
  </si>
  <si>
    <t>metallo</t>
  </si>
  <si>
    <t>Maria Eduarda da Silva</t>
  </si>
  <si>
    <t>20.11 a 23.11</t>
  </si>
  <si>
    <t>Tamires Alano Marian</t>
  </si>
  <si>
    <t xml:space="preserve">Debora Aparecida Tavares </t>
  </si>
  <si>
    <t>03.11 a 05.11</t>
  </si>
  <si>
    <t>nao respondeu</t>
  </si>
  <si>
    <t>Aldair Koaski</t>
  </si>
  <si>
    <t>Renata dos Santos Loche</t>
  </si>
  <si>
    <t>04.01 a 08.01</t>
  </si>
  <si>
    <t>soleil</t>
  </si>
  <si>
    <t>12X556 LINK</t>
  </si>
  <si>
    <t>nao confirmou</t>
  </si>
  <si>
    <t>Valerio Hildefonso Petry</t>
  </si>
  <si>
    <t>20.11 a 22.11</t>
  </si>
  <si>
    <t>nao responde</t>
  </si>
  <si>
    <t>Ricardo Rocha Leal</t>
  </si>
  <si>
    <t>02.11 a 03.11</t>
  </si>
  <si>
    <t>2 x cartao</t>
  </si>
  <si>
    <t>Ballon Daiana</t>
  </si>
  <si>
    <t>13.12 a 17.12</t>
  </si>
  <si>
    <t>argentina</t>
  </si>
  <si>
    <t xml:space="preserve">Taise </t>
  </si>
  <si>
    <t xml:space="preserve">soleil </t>
  </si>
  <si>
    <t>Michele Pisone</t>
  </si>
  <si>
    <t>Ana Maria Mendes</t>
  </si>
  <si>
    <t>Simoni nascimento</t>
  </si>
  <si>
    <t>Maria Laura Manzur Portilho</t>
  </si>
  <si>
    <t>03.02 a 09.02</t>
  </si>
  <si>
    <t>2.000 via link 1.612 em 05.12 e 1.612 em 05.01</t>
  </si>
  <si>
    <t>Adilson dos Santos</t>
  </si>
  <si>
    <t>03.11 a 04.11</t>
  </si>
  <si>
    <t>Lineker dos Santos</t>
  </si>
  <si>
    <t xml:space="preserve">David dos Santos Trigo </t>
  </si>
  <si>
    <t>29.11 a 01.12</t>
  </si>
  <si>
    <t>4x cartao</t>
  </si>
  <si>
    <t>Augusto Andrade Techlhar</t>
  </si>
  <si>
    <t>12xcartao</t>
  </si>
  <si>
    <t>Ademir Luis de Oliveira</t>
  </si>
  <si>
    <t>Jaine Dalbosco</t>
  </si>
  <si>
    <t>23.01 a 27.01</t>
  </si>
  <si>
    <t>Viviane Lara Maciel Lucof</t>
  </si>
  <si>
    <t>26.12 a 29.12</t>
  </si>
  <si>
    <t>Liliane Marostica</t>
  </si>
  <si>
    <t>21.12 a 28.12</t>
  </si>
  <si>
    <t xml:space="preserve">Olivia </t>
  </si>
  <si>
    <t>21.12 a 24.12</t>
  </si>
  <si>
    <t>link 5x</t>
  </si>
  <si>
    <t>Vilmar Hedler</t>
  </si>
  <si>
    <t>10.11 a 11.11</t>
  </si>
  <si>
    <t>credito link</t>
  </si>
  <si>
    <t>Giovani Lorenzon</t>
  </si>
  <si>
    <t>29.11 a 02.12</t>
  </si>
  <si>
    <t>Ivan Segio Gomez</t>
  </si>
  <si>
    <t>20.01 a 31.01</t>
  </si>
  <si>
    <t>1 noite fuego</t>
  </si>
  <si>
    <t>Pedro Ignacio Gil</t>
  </si>
  <si>
    <t>Jiceli Petro</t>
  </si>
  <si>
    <t>16.12 a 20.12</t>
  </si>
  <si>
    <t>Juciellen Vanessa Ribeiro</t>
  </si>
  <si>
    <t>29.12 a 30.12</t>
  </si>
  <si>
    <t>Damian Matias Dangelo</t>
  </si>
  <si>
    <t>06.02 a 13.02</t>
  </si>
  <si>
    <t>Gabriel Cesar Ramos da Silveira</t>
  </si>
  <si>
    <t>10.01 a 13.01</t>
  </si>
  <si>
    <t>3x cartao</t>
  </si>
  <si>
    <t xml:space="preserve">Lucia Fadani </t>
  </si>
  <si>
    <t>24.12 a 01.01</t>
  </si>
  <si>
    <t>Sidnei dos Santos Hoffmann</t>
  </si>
  <si>
    <t>08.01 a 10.01</t>
  </si>
  <si>
    <t>6 x 390 cartao</t>
  </si>
  <si>
    <t>Emerson Luis Parolin</t>
  </si>
  <si>
    <t>10.01 a 14.01</t>
  </si>
  <si>
    <t>1x cartao</t>
  </si>
  <si>
    <t xml:space="preserve">Edinei Tiago Schuster </t>
  </si>
  <si>
    <t>12.02 a 17.02</t>
  </si>
  <si>
    <t>2.400 pix</t>
  </si>
  <si>
    <t>Jair Pereira dos Santos</t>
  </si>
  <si>
    <t>27.12 a 30.12</t>
  </si>
  <si>
    <t>pix 1.000</t>
  </si>
  <si>
    <t>Marcio Augusto Orbolato Rodrigues</t>
  </si>
  <si>
    <t>05.12 A 08.12</t>
  </si>
  <si>
    <t>FUEGO</t>
  </si>
  <si>
    <t>Amanda Evelyn Fudimori</t>
  </si>
  <si>
    <t>05.12 a 08.12</t>
  </si>
  <si>
    <t>Leila Karoline Tavares da Silva</t>
  </si>
  <si>
    <t>23.12 a 26.12</t>
  </si>
  <si>
    <t>Vanessa Chilanti</t>
  </si>
  <si>
    <t>28.12 a 03.01</t>
  </si>
  <si>
    <t>pix 2.550</t>
  </si>
  <si>
    <t>Tiago de Melo</t>
  </si>
  <si>
    <t>14.12 a 17.12</t>
  </si>
  <si>
    <t>4x444,00</t>
  </si>
  <si>
    <t>Florencia Belen Levigurevitz</t>
  </si>
  <si>
    <t>20.01 a 26.01</t>
  </si>
  <si>
    <t>2.688 link</t>
  </si>
  <si>
    <t>Joao Roberto dos Santos</t>
  </si>
  <si>
    <t>27.12 a 01.01</t>
  </si>
  <si>
    <t>Tainara Medeiros Durigon</t>
  </si>
  <si>
    <t>23.12 a 24.12</t>
  </si>
  <si>
    <t>Eduardo Dallalibera</t>
  </si>
  <si>
    <t>28.12 a 01.01</t>
  </si>
  <si>
    <t>sole</t>
  </si>
  <si>
    <t>12x</t>
  </si>
  <si>
    <t>Magda Regina Vittorello</t>
  </si>
  <si>
    <t>16.02 a 19.02</t>
  </si>
  <si>
    <t>pix 1.201,50</t>
  </si>
  <si>
    <t>Helena Adriane leonhardt Gesser</t>
  </si>
  <si>
    <t>15.12 a17.12</t>
  </si>
  <si>
    <t>Adriana Muller</t>
  </si>
  <si>
    <t>28.12 a 29.12</t>
  </si>
  <si>
    <t>cartao 2x</t>
  </si>
  <si>
    <t>Alessandro Fujita</t>
  </si>
  <si>
    <t>05.01 a 07.01</t>
  </si>
  <si>
    <t>Bruna da Rosa Maggi Sant Helena</t>
  </si>
  <si>
    <t>21.12 a 23.12</t>
  </si>
  <si>
    <t>Stephanie dos Santos do Livramento</t>
  </si>
  <si>
    <t>01.01 a 04.01</t>
  </si>
  <si>
    <t>1650 pix</t>
  </si>
  <si>
    <t>Tassiane Maria Viana</t>
  </si>
  <si>
    <t>08.01 a 11.01</t>
  </si>
  <si>
    <t>10x cartao</t>
  </si>
  <si>
    <t>Midori Bormann</t>
  </si>
  <si>
    <t>03.01 a 05.01</t>
  </si>
  <si>
    <t>Natalia Lorena Riva</t>
  </si>
  <si>
    <t>30.01 a 07.02</t>
  </si>
  <si>
    <t>pix belo 2.742</t>
  </si>
  <si>
    <t>Eledir Goncalves</t>
  </si>
  <si>
    <t>25.01 a 28.01</t>
  </si>
  <si>
    <t xml:space="preserve">Debora Pilati Moreira </t>
  </si>
  <si>
    <t>20.03 a 24.02</t>
  </si>
  <si>
    <t>1.200 pix</t>
  </si>
  <si>
    <t>20.03 a 24.03</t>
  </si>
  <si>
    <t>Gabriel Barros de Paula</t>
  </si>
  <si>
    <t>01.01 a 05.01</t>
  </si>
  <si>
    <t>Ana Luz Chiappari</t>
  </si>
  <si>
    <t>26.01 a 03.02</t>
  </si>
  <si>
    <t>2.207 pix belo</t>
  </si>
  <si>
    <t>Giolvar Rombaldi</t>
  </si>
  <si>
    <t>16.01 a 18.01</t>
  </si>
  <si>
    <t>link pgto 1.000</t>
  </si>
  <si>
    <t>18.01 a 19.01</t>
  </si>
  <si>
    <t>Samantha Rodrigues</t>
  </si>
  <si>
    <t>17.01 a 20.01</t>
  </si>
  <si>
    <t>link 8x</t>
  </si>
  <si>
    <t xml:space="preserve">Elisandra Aparecida Morais </t>
  </si>
  <si>
    <t>01.03 a 05.03</t>
  </si>
  <si>
    <t>Andre Kendy Tominaga</t>
  </si>
  <si>
    <t>06.01 a 10.01</t>
  </si>
  <si>
    <t>link</t>
  </si>
  <si>
    <t>Geraldo Gomes de Oliveira Junior</t>
  </si>
  <si>
    <t>Sandra Mergen de Mattos</t>
  </si>
  <si>
    <t>26.01 a 30.01</t>
  </si>
  <si>
    <t>PIX</t>
  </si>
  <si>
    <t>Thiago Furtado</t>
  </si>
  <si>
    <t>12.02 a 15.02</t>
  </si>
  <si>
    <t>Edineia Ines Wille</t>
  </si>
  <si>
    <t>12.01 a 16.01</t>
  </si>
  <si>
    <t>Claudia Na Madaner</t>
  </si>
  <si>
    <t>02.02 a 05.02</t>
  </si>
  <si>
    <t>pix 1.174,50</t>
  </si>
  <si>
    <t>Juliano Carraro</t>
  </si>
  <si>
    <t>04.04 a 06.04</t>
  </si>
  <si>
    <t>pix 484</t>
  </si>
  <si>
    <t>Priscilla Caroline Olkuszewski Velsao</t>
  </si>
  <si>
    <t>10.03 a 12.03</t>
  </si>
  <si>
    <t>3 x cartao</t>
  </si>
  <si>
    <t>Mariano Andres Picardo</t>
  </si>
  <si>
    <t>23.01 a 25.01</t>
  </si>
  <si>
    <t>Rosana Ronconi Richter</t>
  </si>
  <si>
    <t>13.02 a 16.02</t>
  </si>
  <si>
    <t>Jaison Rodrigues</t>
  </si>
  <si>
    <t>14.02 a 16.02</t>
  </si>
  <si>
    <t xml:space="preserve">Monica Reader </t>
  </si>
  <si>
    <t>19.11 a 23.11</t>
  </si>
  <si>
    <t>pix 805</t>
  </si>
  <si>
    <t>Funes Nicolas Ezequiel</t>
  </si>
  <si>
    <t>06.02 a 12.02</t>
  </si>
  <si>
    <t>link 2.161</t>
  </si>
  <si>
    <t>Cristian Rejes</t>
  </si>
  <si>
    <t>01.02 a 03.02</t>
  </si>
  <si>
    <t>Amanda Pietsiaki Bruno Faria</t>
  </si>
  <si>
    <t>04.02 a 06.02</t>
  </si>
  <si>
    <t>Maria Luz Ferreyra</t>
  </si>
  <si>
    <t>10.02 a 12.02</t>
  </si>
  <si>
    <t>link 809,00</t>
  </si>
  <si>
    <t>Susana Beatriz Laemmel</t>
  </si>
  <si>
    <t>22.03 a 25.03</t>
  </si>
  <si>
    <t>300 dia 10 e 300 dia 28.02</t>
  </si>
  <si>
    <t>Leandro Ody</t>
  </si>
  <si>
    <t>28.02 a 04.03</t>
  </si>
  <si>
    <t>1.615,50 pix</t>
  </si>
  <si>
    <t>Vanusa Cardoso</t>
  </si>
  <si>
    <t>21.03 a 23.03</t>
  </si>
  <si>
    <t>827 pix não responde mais</t>
  </si>
  <si>
    <t>Luana Nigelski da Silva</t>
  </si>
  <si>
    <t>pix 500 e 4x cartao</t>
  </si>
  <si>
    <t xml:space="preserve">Marcia Cleide Garcia </t>
  </si>
  <si>
    <t>link 1x cartao</t>
  </si>
  <si>
    <t>Itamar Pedrotti</t>
  </si>
  <si>
    <t>14.03 a 20.03</t>
  </si>
  <si>
    <t>pix 1.950</t>
  </si>
  <si>
    <t>Marconi Machado da Silva</t>
  </si>
  <si>
    <t>15.02 a 16.02</t>
  </si>
  <si>
    <t>Gilson Prust</t>
  </si>
  <si>
    <t>21.02 a 26.02</t>
  </si>
  <si>
    <t>pix 2.201,77</t>
  </si>
  <si>
    <t>Gustavo França da Cruz</t>
  </si>
  <si>
    <t>05.03 a 07.03</t>
  </si>
  <si>
    <t>Osni Righes Junior</t>
  </si>
  <si>
    <t>18.04 a 21.04</t>
  </si>
  <si>
    <t>pix 885</t>
  </si>
  <si>
    <t>Fabio Fernando Martins</t>
  </si>
  <si>
    <t>Liliane Frelich</t>
  </si>
  <si>
    <t>23.04 a 27.04</t>
  </si>
  <si>
    <t>1.000 pix</t>
  </si>
  <si>
    <t>Osni Cesar Simao Tavares</t>
  </si>
  <si>
    <t>01.03 A 04.03</t>
  </si>
  <si>
    <t>Vicente Alencar</t>
  </si>
  <si>
    <t>24.03 a 28.03</t>
  </si>
  <si>
    <t>300 pix</t>
  </si>
  <si>
    <t>Denys Fellipe Vieira Thives</t>
  </si>
  <si>
    <t>29.03 a 31.03</t>
  </si>
  <si>
    <t>Maria Fernanda Manini Costa Duarte</t>
  </si>
  <si>
    <t>09.03 a 12.03</t>
  </si>
  <si>
    <t xml:space="preserve">link </t>
  </si>
  <si>
    <t>Leonardo Felipe Moreira</t>
  </si>
  <si>
    <t>14.03 a 16.03</t>
  </si>
  <si>
    <t>Cirian Patricia Friedrich</t>
  </si>
  <si>
    <t>08.03 a 09.03</t>
  </si>
  <si>
    <t>Nathália Reis</t>
  </si>
  <si>
    <t>Daniela Ziener Viek</t>
  </si>
  <si>
    <t>19.03 a 21.03</t>
  </si>
  <si>
    <t>07.03 a 08.03</t>
  </si>
  <si>
    <t xml:space="preserve">5x </t>
  </si>
  <si>
    <t>Camila Kalil veik</t>
  </si>
  <si>
    <t>07.03 a 09.03</t>
  </si>
  <si>
    <t>Claudineia Meinerz</t>
  </si>
  <si>
    <t>08.03 a 10.03</t>
  </si>
  <si>
    <t>Gilberto Francisco de Souza</t>
  </si>
  <si>
    <t>14.03 a 18.03</t>
  </si>
  <si>
    <t>Simone Oliveira da Silva</t>
  </si>
  <si>
    <t>16.03 a 20.03</t>
  </si>
  <si>
    <t>Ricardo Rodriguez</t>
  </si>
  <si>
    <t>14.03 a 17.03</t>
  </si>
  <si>
    <t>pix 400,00</t>
  </si>
  <si>
    <t>Alessandra Bissolotti</t>
  </si>
  <si>
    <t>Michele ferreira de souza</t>
  </si>
  <si>
    <t>08.08 a 0.08</t>
  </si>
  <si>
    <t>candealdo</t>
  </si>
  <si>
    <t>17.04 a 21.04</t>
  </si>
  <si>
    <t>pix 769,50</t>
  </si>
  <si>
    <t>Luana Francielle Braz Ribeiro</t>
  </si>
  <si>
    <t>05.04 a 06.04</t>
  </si>
  <si>
    <t>maycon adam beseke</t>
  </si>
  <si>
    <t>14.04 a 19.04</t>
  </si>
  <si>
    <t>pix 500</t>
  </si>
  <si>
    <t>Thiago Moraes</t>
  </si>
  <si>
    <t>22.03 a 24.03</t>
  </si>
  <si>
    <t>link 2x</t>
  </si>
  <si>
    <t>Wanderley Marchi</t>
  </si>
  <si>
    <t>30.04 a 04.05</t>
  </si>
  <si>
    <t>link 3x</t>
  </si>
  <si>
    <t>Tamiris Baraldi de Oliveira Monteiro</t>
  </si>
  <si>
    <t>pix 430</t>
  </si>
  <si>
    <t>Airto Aparecido Gianello</t>
  </si>
  <si>
    <t>17.04 a 22.04</t>
  </si>
  <si>
    <t>link 10x</t>
  </si>
  <si>
    <t>Elis Regina da Silva</t>
  </si>
  <si>
    <t>26.03 a 28.03</t>
  </si>
  <si>
    <t>link 3 x</t>
  </si>
  <si>
    <t>Daniel Batista de Souza</t>
  </si>
  <si>
    <t>pix e link</t>
  </si>
  <si>
    <t>Gesse Araujo Silva</t>
  </si>
  <si>
    <t>29.03 a 30.03</t>
  </si>
  <si>
    <t>Jucimara Marthendal de Quadra Cunha</t>
  </si>
  <si>
    <t>Renato Domingues da Silva</t>
  </si>
  <si>
    <t>pix 961,50</t>
  </si>
  <si>
    <t>Joselaine da cruz Prusnal</t>
  </si>
  <si>
    <t>26.04 a 28.04</t>
  </si>
  <si>
    <t>212 pix</t>
  </si>
  <si>
    <t>Maria Cristina Lopes Bastos</t>
  </si>
  <si>
    <t>02.05 a 04.05</t>
  </si>
  <si>
    <t xml:space="preserve">Adriana da Silva Ribeiro </t>
  </si>
  <si>
    <t>28.06 a 30.06</t>
  </si>
  <si>
    <t>pix (com passeio)</t>
  </si>
  <si>
    <t>Liriane Iosso</t>
  </si>
  <si>
    <t>05.05 a 10.05</t>
  </si>
  <si>
    <t>592,50 pix</t>
  </si>
  <si>
    <t>Elizeth Hoffmann</t>
  </si>
  <si>
    <t>01.05 a 04.05</t>
  </si>
  <si>
    <t>6x328 link</t>
  </si>
  <si>
    <t xml:space="preserve">Josiane Borges da Silva Melquioret </t>
  </si>
  <si>
    <t>09.05 a 11.05</t>
  </si>
  <si>
    <t>Rogerio Kruger Azambuja</t>
  </si>
  <si>
    <t>01.05 a 03.05</t>
  </si>
  <si>
    <t>824 pix</t>
  </si>
  <si>
    <t xml:space="preserve">Marcos Antonio Silveira </t>
  </si>
  <si>
    <t>06.06 a 10.06</t>
  </si>
  <si>
    <t>pix 862 com passeio</t>
  </si>
  <si>
    <t>Jean-Philippe Krapf</t>
  </si>
  <si>
    <t>26.09 a 01.10</t>
  </si>
  <si>
    <t>terra/acqua</t>
  </si>
  <si>
    <t>link (suiça)</t>
  </si>
  <si>
    <t>Sirlene Marques Assumpção</t>
  </si>
  <si>
    <t>link 6x</t>
  </si>
  <si>
    <t>Flaviani Karen Villela Ferracin</t>
  </si>
  <si>
    <t>Talita Jeronimo Ferracin</t>
  </si>
  <si>
    <t>Juliana Longhi Pissinati</t>
  </si>
  <si>
    <t>Maiki Henrique Longhi</t>
  </si>
  <si>
    <t>pix 1.106</t>
  </si>
  <si>
    <t>Milena Vizentin da Silva</t>
  </si>
  <si>
    <t>11.07 a 13.07</t>
  </si>
  <si>
    <t>link 3x + decoracao 229</t>
  </si>
  <si>
    <t>Luiz Miguel Caiel Ribeiro</t>
  </si>
  <si>
    <t>20.06 a 27.06</t>
  </si>
  <si>
    <t>pix golpe</t>
  </si>
  <si>
    <t xml:space="preserve">Valmir Pegas Leao Silva </t>
  </si>
  <si>
    <t>19.06 a 22.06</t>
  </si>
  <si>
    <t>Pamela Maria Fagundes</t>
  </si>
  <si>
    <t>18.06 a 19.06</t>
  </si>
  <si>
    <t>Karoline Fiori</t>
  </si>
  <si>
    <t>20.06 a 21.06</t>
  </si>
  <si>
    <t>Caroline Sissy Tronco</t>
  </si>
  <si>
    <t>26.12 a 03.01</t>
  </si>
  <si>
    <t>5 x link</t>
  </si>
  <si>
    <t>Walsani D Gnewuch</t>
  </si>
  <si>
    <t>05.07 a 06.07</t>
  </si>
  <si>
    <t>Amanda Hacker Donansan</t>
  </si>
  <si>
    <t>12.07 a 13.07</t>
  </si>
  <si>
    <t>Marcelo Frigerio</t>
  </si>
  <si>
    <t>Valdecira Garcia de Souza do Prado</t>
  </si>
  <si>
    <t>08.08 a 10.08</t>
  </si>
  <si>
    <t>Regiane Aparecida Gonçalves</t>
  </si>
  <si>
    <t>12.09 a 15.09</t>
  </si>
  <si>
    <t>Cancelou</t>
  </si>
  <si>
    <t>Adriano Martins Pedro</t>
  </si>
  <si>
    <t>29.08 a 31.08</t>
  </si>
  <si>
    <t>Miguel Gonzalez</t>
  </si>
  <si>
    <t>22.01.26 a 29.01</t>
  </si>
  <si>
    <t>credito uruguai</t>
  </si>
  <si>
    <t>Araceli Segovia</t>
  </si>
  <si>
    <t>11.01.26 a 24.01</t>
  </si>
  <si>
    <t>transf paraguai</t>
  </si>
  <si>
    <t>Ronie Kazumi Kushino</t>
  </si>
  <si>
    <t>01.09.25 a 03.09</t>
  </si>
  <si>
    <t>Yanina Elizabeth de Freitas</t>
  </si>
  <si>
    <t>09.08.26 a 11.08</t>
  </si>
  <si>
    <t>Daniel Ricardo da Silva</t>
  </si>
  <si>
    <t>22.08.25 a 25.08</t>
  </si>
  <si>
    <t>Susana Augustinho Silva Gonçalves</t>
  </si>
  <si>
    <t>15.08.25 a 17.08</t>
  </si>
  <si>
    <t>Ana Thibes</t>
  </si>
  <si>
    <t>06.09.25 a 08.09</t>
  </si>
  <si>
    <t>Viviane Alves Tamagno</t>
  </si>
  <si>
    <t>29.08.25 a 31.08</t>
  </si>
  <si>
    <t>Karina Pickering Pollheim</t>
  </si>
  <si>
    <t>Joseli Vaz Milleck</t>
  </si>
  <si>
    <t>22.08.25 a 24.08</t>
  </si>
  <si>
    <t>Luciana Regina Gatto</t>
  </si>
  <si>
    <t>Diego Chialanza</t>
  </si>
  <si>
    <t>26.12.25 a 03.01.26</t>
  </si>
  <si>
    <t>Denise Marchi Custodio</t>
  </si>
  <si>
    <t>14.11.25 a 16.11</t>
  </si>
  <si>
    <t>Camile Lima</t>
  </si>
  <si>
    <t>T&amp;T Comunicacao visual</t>
  </si>
  <si>
    <t>22.08.25 a 04.09</t>
  </si>
  <si>
    <t>Fernando Santos de Castro Silva</t>
  </si>
  <si>
    <t>12.09.25 a 14.09</t>
  </si>
  <si>
    <t>Rafael Mafra</t>
  </si>
  <si>
    <t>24.12.25 a 25.12</t>
  </si>
  <si>
    <t>Marco Aurélio L. Cordeiro</t>
  </si>
  <si>
    <t>25.10.25 a 28.12</t>
  </si>
  <si>
    <t>Carla Kraemer da Fonseca</t>
  </si>
  <si>
    <t>30.08.25 a 31.08</t>
  </si>
  <si>
    <t>28.08.25 a 03.09</t>
  </si>
  <si>
    <t>15.12.25 a 18.12</t>
  </si>
  <si>
    <t>out 500 / nov 500 pix</t>
  </si>
  <si>
    <t>Thaisa Cancian</t>
  </si>
  <si>
    <t>26.09.25 a 28.09</t>
  </si>
  <si>
    <t>Elenita Kovalski</t>
  </si>
  <si>
    <t>11.09.25 a 13.09</t>
  </si>
  <si>
    <t>3 x link</t>
  </si>
  <si>
    <t>Suzana beatriz laemmel</t>
  </si>
  <si>
    <t>20.09.25 a 22.09</t>
  </si>
  <si>
    <t>pix 200</t>
  </si>
  <si>
    <t>Dario Alves</t>
  </si>
  <si>
    <t>19.09.25 a 21.09</t>
  </si>
  <si>
    <t>link 3x249</t>
  </si>
  <si>
    <t>Sergio Neves dos Santos</t>
  </si>
  <si>
    <t>NF emitida</t>
  </si>
  <si>
    <t>Willian Antonio Macedo</t>
  </si>
  <si>
    <t>05.09.25 a 07.09</t>
  </si>
  <si>
    <t>Christianne Ribeiro</t>
  </si>
  <si>
    <t>13.09.25 a 14.09</t>
  </si>
  <si>
    <t>Odair Bovenschulte</t>
  </si>
  <si>
    <t>09.09.25 a 13.09</t>
  </si>
  <si>
    <t>Jorge Luiz Formoso</t>
  </si>
  <si>
    <t>Oziel alecio alves</t>
  </si>
  <si>
    <t>08.10.25 a 11.10</t>
  </si>
  <si>
    <t>Waldemir Salvador (Beatriz)</t>
  </si>
  <si>
    <t>Luana Camila Schindel</t>
  </si>
  <si>
    <t>01.01.26 a 05.01</t>
  </si>
  <si>
    <t>pix 2000</t>
  </si>
  <si>
    <t>Rosane Raddatz</t>
  </si>
  <si>
    <t>pix 183,50</t>
  </si>
  <si>
    <t>Maria Valin</t>
  </si>
  <si>
    <t>pix 349,50</t>
  </si>
  <si>
    <t>Cristina Souza Lima Alves</t>
  </si>
  <si>
    <t>26.09.25  28.09</t>
  </si>
  <si>
    <t>12.09.25 a 22.09</t>
  </si>
  <si>
    <t>t&amp;T Comunicacao visual</t>
  </si>
  <si>
    <t>Giselia Godinho Correa</t>
  </si>
  <si>
    <t>12.09.25 a 14.09.25</t>
  </si>
  <si>
    <t xml:space="preserve">Emerson Luis Zanlorenci </t>
  </si>
  <si>
    <t>heloisa de jesus bina</t>
  </si>
  <si>
    <t>Mayara Ramos Gomes de Souza</t>
  </si>
  <si>
    <t>24.10.25 a 26.10</t>
  </si>
  <si>
    <t>Maria Jackeline Marcondes</t>
  </si>
  <si>
    <t>30.09.25 a 05.10</t>
  </si>
  <si>
    <t>Morena Stumpf Teixeira</t>
  </si>
  <si>
    <t>link 4x</t>
  </si>
  <si>
    <t>Anderson Possebon</t>
  </si>
  <si>
    <t>17.10.25 a 19.10</t>
  </si>
  <si>
    <t>22.09.25 a 24.09</t>
  </si>
  <si>
    <t>24.09.25 a 01.10</t>
  </si>
  <si>
    <t>enviada NF de 12 a 19.09</t>
  </si>
  <si>
    <t>Williane Oliveira da Silveira</t>
  </si>
  <si>
    <t>10.10.25 a 13.10</t>
  </si>
  <si>
    <t>Eliane Costa Figueiredo</t>
  </si>
  <si>
    <t>Alessandra de Assil Lima</t>
  </si>
  <si>
    <t>03.10.25 a 05.10</t>
  </si>
  <si>
    <t>01.10.25 a 03.10</t>
  </si>
  <si>
    <t>Tatiane David de Souza</t>
  </si>
  <si>
    <t>Edlayne Leite Souza</t>
  </si>
  <si>
    <t>03.10.25 a 09.10</t>
  </si>
  <si>
    <t>Fabio Fabian Daixt</t>
  </si>
  <si>
    <t>17.01.26 a 24.01</t>
  </si>
  <si>
    <t>pix (site)</t>
  </si>
  <si>
    <t>Luan Michel Zago</t>
  </si>
  <si>
    <t>10.10 a 12.10</t>
  </si>
  <si>
    <t>Oziel Alecio Alves</t>
  </si>
  <si>
    <t>07.10.25 a 09.10</t>
  </si>
  <si>
    <t xml:space="preserve">pix </t>
  </si>
  <si>
    <t>06.10.25 a 08.10</t>
  </si>
  <si>
    <t>Luciele maria de Oliveira</t>
  </si>
  <si>
    <t>31.10.25 a 02.11</t>
  </si>
  <si>
    <t>Mailane Pereira de Carvalho</t>
  </si>
  <si>
    <t>10.10.25 a 12.10</t>
  </si>
  <si>
    <t>Dioneia de Cássia Ferreira Pinheiro</t>
  </si>
  <si>
    <t>09.10.25 a 12.10</t>
  </si>
  <si>
    <t>08.10.25 a 09.10</t>
  </si>
  <si>
    <t>09.10.25 a 13.10</t>
  </si>
  <si>
    <t>NF emitida de 29 a 13.10</t>
  </si>
  <si>
    <t>Julieta Montenegro Garcia</t>
  </si>
  <si>
    <t>05.01.26 a 18.01</t>
  </si>
  <si>
    <t>pix 6.392</t>
  </si>
  <si>
    <t>Nilson de Barros</t>
  </si>
  <si>
    <t>Iago Ferrari Alonso Franchi</t>
  </si>
  <si>
    <t>25.12.25 a 29.12</t>
  </si>
  <si>
    <t>19.10.25 a 22.10</t>
  </si>
  <si>
    <t>NF emitida de 18 a 22.10</t>
  </si>
  <si>
    <t>Alesaandra Dede Costa</t>
  </si>
  <si>
    <t>25.10.25 a 27.10</t>
  </si>
  <si>
    <t>Renata Xavier Savoini</t>
  </si>
  <si>
    <t>18.10.256 a 19.20</t>
  </si>
  <si>
    <t>debito</t>
  </si>
  <si>
    <t>João Paulo Siloto</t>
  </si>
  <si>
    <t>04.01.26 a 09.01</t>
  </si>
  <si>
    <t>Jose Luciano Tavares da Silva</t>
  </si>
  <si>
    <t>04.01.26 a 10.01</t>
  </si>
  <si>
    <t>Mercia</t>
  </si>
  <si>
    <t>Ana Luiza dos Santos de Liz</t>
  </si>
  <si>
    <t>05.01.26 a 11.01</t>
  </si>
  <si>
    <t>link 12x 534 TOTAL 6413</t>
  </si>
  <si>
    <t>Luis Rios Murray</t>
  </si>
  <si>
    <t>25.12.25 a 04.01</t>
  </si>
  <si>
    <t>30% 3.600</t>
  </si>
  <si>
    <t>29.10.25 a 03.11</t>
  </si>
  <si>
    <t>Marco Esteban</t>
  </si>
  <si>
    <t>10.02.26 a 19.02</t>
  </si>
  <si>
    <t>Rodriguez Durini Matias</t>
  </si>
  <si>
    <t>07.02.26 a 17.02</t>
  </si>
  <si>
    <t>Lambertucci Mauro</t>
  </si>
  <si>
    <t>03.11.25 a 07.11</t>
  </si>
  <si>
    <t>Neri Rosa</t>
  </si>
  <si>
    <t>29.12.25 a 05.01</t>
  </si>
  <si>
    <t>Ketlyn Corrêa dos Santos</t>
  </si>
  <si>
    <t>17.12.25 a 23.12</t>
  </si>
  <si>
    <t>Rodrigo Klass</t>
  </si>
  <si>
    <t>19.11 a 23.11.25</t>
  </si>
  <si>
    <t>20.11.25 a 23.11</t>
  </si>
  <si>
    <t>Maria Victoria Rabellino</t>
  </si>
  <si>
    <t>30.01.26 a 08.02</t>
  </si>
  <si>
    <t>Luciana Padilla</t>
  </si>
  <si>
    <t>09.01.26 a 16.01</t>
  </si>
  <si>
    <t xml:space="preserve">Anderson Souza de Oliveira </t>
  </si>
  <si>
    <t>29.11.25 a 30.11</t>
  </si>
  <si>
    <t>Gaston Maisonnave</t>
  </si>
  <si>
    <t>Simone Ferreira</t>
  </si>
  <si>
    <t>02.12.25 a 03.12</t>
  </si>
  <si>
    <t>26.11.25 a 06.12</t>
  </si>
  <si>
    <t>NF emitida de 4.270 em 28.11</t>
  </si>
  <si>
    <t>fazer NF a partir de 01.12 (4.270,00 + demais dias a partir de 07.12)</t>
  </si>
  <si>
    <t>Jociele Cristina Delazera</t>
  </si>
  <si>
    <t>20.12.25 a 24.12</t>
  </si>
  <si>
    <t>Wagner da Silva cavalheiro</t>
  </si>
  <si>
    <t>28.11.25 a 30.11</t>
  </si>
  <si>
    <t>credito 6x</t>
  </si>
  <si>
    <t xml:space="preserve">Marcos Antonio Cattai </t>
  </si>
  <si>
    <t>28.11.25 a 01.12</t>
  </si>
  <si>
    <t>Lisana Teixeira Cardoso</t>
  </si>
  <si>
    <t>18.12.25 a 19.12</t>
  </si>
  <si>
    <t xml:space="preserve">Javier Martinez </t>
  </si>
  <si>
    <t>29.01.26 a 09.02</t>
  </si>
  <si>
    <t>Natalia Damonte</t>
  </si>
  <si>
    <t>Vezio Steffanoli</t>
  </si>
  <si>
    <t>31.01.26 a 10.02</t>
  </si>
  <si>
    <t>Claudemir Montovan</t>
  </si>
  <si>
    <t>02.04.26 a 05.04</t>
  </si>
  <si>
    <t>Damiana Maria da Silva</t>
  </si>
  <si>
    <t>19.12.25 a 22.12</t>
  </si>
  <si>
    <t xml:space="preserve">Anilson Pereira dos Santos </t>
  </si>
  <si>
    <t>18.04.25 a 21.04</t>
  </si>
  <si>
    <t>Andre Aparecido da Silva</t>
  </si>
  <si>
    <t>05.12.25 a 07.12</t>
  </si>
  <si>
    <t>CAMPANHA</t>
  </si>
  <si>
    <t>Jefferson de Oliveira Andriotti</t>
  </si>
  <si>
    <t>11.01.26 a 16.01</t>
  </si>
  <si>
    <t>casa</t>
  </si>
  <si>
    <t>05.12.25 a 10.12</t>
  </si>
  <si>
    <t>06.12.25 a 10.12</t>
  </si>
  <si>
    <t>Danilo fernandes Corso</t>
  </si>
  <si>
    <t>Frederico imoveis</t>
  </si>
  <si>
    <t>18.01.25 a 29.01</t>
  </si>
  <si>
    <t>casa aragua</t>
  </si>
  <si>
    <t>Eduardo machado Lencina</t>
  </si>
  <si>
    <t>09.02.26 a 13.02</t>
  </si>
  <si>
    <t>Alexandre Resende Melani</t>
  </si>
  <si>
    <t>12.12.25 a 16.12</t>
  </si>
  <si>
    <t>Gilson de França Cardoso</t>
  </si>
  <si>
    <t>11.01.26 a 15.01</t>
  </si>
  <si>
    <t>Rogerio Gomes de Sa Vianna</t>
  </si>
  <si>
    <t>14.01.26 a 21.01</t>
  </si>
  <si>
    <t>pix 2.500</t>
  </si>
  <si>
    <t>Tatiane</t>
  </si>
  <si>
    <t>16.01.26 a 20.01</t>
  </si>
  <si>
    <t xml:space="preserve">Geraldo Gomes </t>
  </si>
  <si>
    <t>03.01.26 a 06.01</t>
  </si>
  <si>
    <t>Marcia Pereria Ricci Barros</t>
  </si>
  <si>
    <t>16.04.26 a 22.04</t>
  </si>
  <si>
    <t>pix 1000</t>
  </si>
  <si>
    <t>02.01.26 a 05.01</t>
  </si>
  <si>
    <t>6x</t>
  </si>
  <si>
    <t>Jaques Rafael Martini</t>
  </si>
  <si>
    <t>18.01.26 a 23.01</t>
  </si>
  <si>
    <t>pix 1.229,50</t>
  </si>
  <si>
    <t>Larissa Nora</t>
  </si>
  <si>
    <t>17.01.26 a 23.01</t>
  </si>
  <si>
    <t>28.01.26 a 02.01</t>
  </si>
  <si>
    <t>Jose Luis Pintos</t>
  </si>
  <si>
    <t>02.02.26 a 07.02</t>
  </si>
  <si>
    <t>pix 1.664</t>
  </si>
  <si>
    <t>Cleusa Miranda</t>
  </si>
  <si>
    <t>09.01.26 a 14.01</t>
  </si>
  <si>
    <t>Jimena Medrano</t>
  </si>
  <si>
    <t>04.03.26 a 11.03</t>
  </si>
  <si>
    <t>pix 1720</t>
  </si>
  <si>
    <t>Marisa Balastegui</t>
  </si>
  <si>
    <t>18.01.26 a 24.01</t>
  </si>
  <si>
    <t>Lucas Diemer</t>
  </si>
  <si>
    <t>13.01.26 a 17.01</t>
  </si>
  <si>
    <t xml:space="preserve">Micheli Mariano </t>
  </si>
  <si>
    <t>20.03.26 a 23.03</t>
  </si>
  <si>
    <t xml:space="preserve">Leandro Willner </t>
  </si>
  <si>
    <t>07.01.26 a 13.01</t>
  </si>
  <si>
    <t>Luna/wood</t>
  </si>
  <si>
    <t>Cassiane Rodrigues da Silva</t>
  </si>
  <si>
    <t>17.01.26 a 20.01</t>
  </si>
  <si>
    <t>credito 4x</t>
  </si>
  <si>
    <t>Sonia Elizabeth Romero</t>
  </si>
  <si>
    <t>16.02.26 a 22.02</t>
  </si>
  <si>
    <t>pix 3815</t>
  </si>
  <si>
    <t>Cirlene Machado</t>
  </si>
  <si>
    <t>12.03.26 a 15.03</t>
  </si>
  <si>
    <t>pix 900</t>
  </si>
  <si>
    <t>Alejandro Francisco Hallstrom</t>
  </si>
  <si>
    <t>08.02.26 a 15.02</t>
  </si>
  <si>
    <t>Joice Portugal Cardoso</t>
  </si>
  <si>
    <t>18.01.26 a 22.01</t>
  </si>
  <si>
    <t>Livia Nobrega Meneguetti</t>
  </si>
  <si>
    <t>16.03.26 a 20.03</t>
  </si>
  <si>
    <t>Jessica Fernanda Tancon Carvalho</t>
  </si>
  <si>
    <t>03.04.26 a 06.04</t>
  </si>
  <si>
    <t>11.l01</t>
  </si>
  <si>
    <t>Eliane Aparecida Vieira de Almeida</t>
  </si>
  <si>
    <t>31.01.26 a 04.02</t>
  </si>
  <si>
    <t>link 3x (reembolso de 2.847,60</t>
  </si>
  <si>
    <t>Gabriel Fernandez</t>
  </si>
  <si>
    <t>27.02.26 a 08.03</t>
  </si>
  <si>
    <t>Charlene Estela Becker Petermann</t>
  </si>
  <si>
    <t>20.01.26 a 24.01</t>
  </si>
  <si>
    <t>6x cartao</t>
  </si>
  <si>
    <t>Laisa Vizzotto</t>
  </si>
  <si>
    <t>08.03.26 a 14.03</t>
  </si>
  <si>
    <t>Fernanda da Silva Lanser</t>
  </si>
  <si>
    <t>12.03.26 a 16.03</t>
  </si>
  <si>
    <t>instagram</t>
  </si>
  <si>
    <t>Vanessa De Cesero Holuige</t>
  </si>
  <si>
    <t>04.03.26 a 10.03</t>
  </si>
  <si>
    <t>Fernanda Aparecida Woitechen Fernandes</t>
  </si>
  <si>
    <t>Daniel Haverroth</t>
  </si>
  <si>
    <t>24.01.26 a 27.01</t>
  </si>
  <si>
    <t>pix 30%</t>
  </si>
  <si>
    <t>Marcelo Rezende</t>
  </si>
  <si>
    <t>22.01.26 a 24.01</t>
  </si>
  <si>
    <t>pix direto na pousada</t>
  </si>
  <si>
    <t>28.114 CAMPANHA</t>
  </si>
  <si>
    <t>Kaue Doering</t>
  </si>
  <si>
    <t>24.02.26 a 28.02</t>
  </si>
  <si>
    <t>indicacao foz do iguaçu</t>
  </si>
  <si>
    <t>Mirta Sierig</t>
  </si>
  <si>
    <t>08.03.26 a14.03</t>
  </si>
  <si>
    <t>Monica Natale</t>
  </si>
  <si>
    <t>29.01.26 a 30.01.</t>
  </si>
  <si>
    <t>credito</t>
  </si>
  <si>
    <t>hospede booking mais 1 diaria</t>
  </si>
  <si>
    <t>monica Natale</t>
  </si>
  <si>
    <t>29.01.26 a 30.01</t>
  </si>
  <si>
    <t>Edo Odair Vargas Rodrigues</t>
  </si>
  <si>
    <t>06.03.26 a 09.03</t>
  </si>
  <si>
    <t>primo jorge</t>
  </si>
  <si>
    <t>Gelson Bueno de Oliveira</t>
  </si>
  <si>
    <t>06.03.26 a 08.03</t>
  </si>
  <si>
    <t>Ailton Vieira dos Santos</t>
  </si>
  <si>
    <t>12.03.26 a 17.03</t>
  </si>
  <si>
    <t xml:space="preserve"> esposa reservou giciele</t>
  </si>
  <si>
    <t>Larissa Gesser Filipini</t>
  </si>
  <si>
    <t>13.02.26 a 18.02</t>
  </si>
  <si>
    <t>Fernando Exteckoetter</t>
  </si>
  <si>
    <t>04.02.26 a 08.02</t>
  </si>
  <si>
    <t>Thalita de castro rosa</t>
  </si>
  <si>
    <t>02.04.26  05.04</t>
  </si>
  <si>
    <t>Giciele de Oliveira Tavares</t>
  </si>
  <si>
    <t>11.03.26 a 16.03</t>
  </si>
  <si>
    <t>Kauana Gabrielly dos Santos</t>
  </si>
  <si>
    <t>06.02.26 a 08.02</t>
  </si>
  <si>
    <t>Cristiane Ianza Lopes Poli</t>
  </si>
  <si>
    <t>07.03.26 a 08.03</t>
  </si>
  <si>
    <t>Franco Montero</t>
  </si>
  <si>
    <t>05.03.26 a 12.03</t>
  </si>
  <si>
    <t>pix 1.312,94</t>
  </si>
  <si>
    <t>booking</t>
  </si>
  <si>
    <t>Wilson Pinto (Adriane C Pinto)</t>
  </si>
  <si>
    <t>13.02.26 a 17.02</t>
  </si>
  <si>
    <t>link 6 x</t>
  </si>
  <si>
    <t>Ana Schatzel</t>
  </si>
  <si>
    <t>casa/metallo</t>
  </si>
  <si>
    <t>pix 2.529,50</t>
  </si>
  <si>
    <t>Renato dos Santos Loche</t>
  </si>
  <si>
    <t>14.02.26 a 16.02</t>
  </si>
  <si>
    <t>pix 879</t>
  </si>
  <si>
    <t>Francisco Dalbosco</t>
  </si>
  <si>
    <t>21.02.26 a 22.02</t>
  </si>
  <si>
    <t>500 pix</t>
  </si>
  <si>
    <t>hospede fuego</t>
  </si>
  <si>
    <t>17.02.26 a 18.02</t>
  </si>
  <si>
    <t>cartao</t>
  </si>
  <si>
    <t>chegou na pousada</t>
  </si>
  <si>
    <t>Marlon</t>
  </si>
  <si>
    <t>17.02.26 a 20.02</t>
  </si>
  <si>
    <t>Fatima Ramos</t>
  </si>
  <si>
    <t>20.03.26 a 26.03</t>
  </si>
  <si>
    <t>wood/acqua</t>
  </si>
  <si>
    <t>site</t>
  </si>
  <si>
    <t>Sebastian Oliva</t>
  </si>
  <si>
    <t>22.02.26 a 03.03</t>
  </si>
  <si>
    <t>pix 2.700</t>
  </si>
  <si>
    <t>CAM BARCO</t>
  </si>
  <si>
    <t>CAM CA</t>
  </si>
  <si>
    <t>Karen Machado</t>
  </si>
  <si>
    <t>08.03.26 a 10.03</t>
  </si>
  <si>
    <t>nao pagou</t>
  </si>
  <si>
    <t>cam barco</t>
  </si>
  <si>
    <t>fabio Lopes</t>
  </si>
  <si>
    <t>27.03.26 a 29.03</t>
  </si>
  <si>
    <t>Catia Daniela Cochorowski</t>
  </si>
  <si>
    <t>20.03.26 a 22.02</t>
  </si>
  <si>
    <t>JUliana Rocha  Ferreira</t>
  </si>
  <si>
    <t>27.02.26 a 04.03.</t>
  </si>
  <si>
    <t>Luis Carlos Gomes</t>
  </si>
  <si>
    <t>13.03.26 a 15.03</t>
  </si>
  <si>
    <t>Walquiria Joseane</t>
  </si>
  <si>
    <t>13.03.26 a 17.02</t>
  </si>
  <si>
    <t>Rafael Pagani da Conceição</t>
  </si>
  <si>
    <t>24.03.26 a 16.03</t>
  </si>
  <si>
    <t>Eranildo Pereira da Silva</t>
  </si>
  <si>
    <t>09.03.26 a 11.03</t>
  </si>
  <si>
    <t>Juliana Sguarezi</t>
  </si>
  <si>
    <t>20.03.26 a 22.03</t>
  </si>
  <si>
    <t>bot barco</t>
  </si>
  <si>
    <t>Andreia Aparecida de Souza</t>
  </si>
  <si>
    <t>Flavia Cristina Morais</t>
  </si>
  <si>
    <t>03.03.26 a 05.03</t>
  </si>
  <si>
    <t>Nelson da Cunha</t>
  </si>
  <si>
    <t>23.03.26 a 27.03</t>
  </si>
  <si>
    <t>Vilson Feliciano (Edna)</t>
  </si>
  <si>
    <t>Ronaldo Meneguzzo vargas (necos)</t>
  </si>
  <si>
    <t>Katia Regina de Amorim</t>
  </si>
  <si>
    <t>27.03.26 a 30.03</t>
  </si>
  <si>
    <t>Elizangela Rocha</t>
  </si>
  <si>
    <t>10.04.26 a 12.04</t>
  </si>
  <si>
    <t>Helen Brandao</t>
  </si>
  <si>
    <t>Evandro de Mattos</t>
  </si>
  <si>
    <t>Jessica Alves da Veiga</t>
  </si>
  <si>
    <t>07.03.26 a 09.03</t>
  </si>
  <si>
    <t>Sintia Elizabete Ferreira</t>
  </si>
  <si>
    <t>Volmir Ramos de Lima</t>
  </si>
  <si>
    <t>14.03.26 a 15.03</t>
  </si>
  <si>
    <t>Moacir Jose Vieira</t>
  </si>
  <si>
    <t>11.04.26 a 15.04</t>
  </si>
  <si>
    <t>Marcio Jose Vieria</t>
  </si>
  <si>
    <t>11.04.26 a 12.02</t>
  </si>
  <si>
    <t>ja e cliente</t>
  </si>
  <si>
    <t>Debora Regina Philipps</t>
  </si>
  <si>
    <t>bot casal barco</t>
  </si>
  <si>
    <t>Denise Sormani</t>
  </si>
  <si>
    <t>16.03.26 a 18.03</t>
  </si>
  <si>
    <t>Jackson Ferreira</t>
  </si>
  <si>
    <t>18.03.26 a 20.03</t>
  </si>
  <si>
    <t>Guilherme Oliveira Fernandes da Silva</t>
  </si>
  <si>
    <t>01.04.26 a 04.04</t>
  </si>
  <si>
    <t>pix 300 restante dia 19.03</t>
  </si>
  <si>
    <t>Rafael Mauricio Pinheiro</t>
  </si>
  <si>
    <t>14.03.26 a 16.03</t>
  </si>
  <si>
    <t>Luis Carlos Dal Ri</t>
  </si>
  <si>
    <t>Eleonora Weber</t>
  </si>
  <si>
    <t>linlk 3x</t>
  </si>
  <si>
    <t>Marcell Miranda Rauscher Holzmann</t>
  </si>
  <si>
    <t>Aline Hinckel</t>
  </si>
  <si>
    <t>bot</t>
  </si>
  <si>
    <t>Daniela Blauth</t>
  </si>
  <si>
    <t>reembolso 540</t>
  </si>
  <si>
    <t>Gilson melanski owsiany</t>
  </si>
  <si>
    <t>16.03.26 a 19.03</t>
  </si>
  <si>
    <t>cam casa</t>
  </si>
  <si>
    <t>Leonardo Dutra Resende</t>
  </si>
  <si>
    <t>20.03.26 a 24.03</t>
  </si>
  <si>
    <t>Geiza de Mello Sachini</t>
  </si>
  <si>
    <t>ja e hospede</t>
  </si>
  <si>
    <t>21.03.26 a 23.03</t>
  </si>
  <si>
    <t>piix</t>
  </si>
  <si>
    <t>Fabiano Fukuoka Araujo</t>
  </si>
  <si>
    <t>Maria Cicera da Silva Oliveira</t>
  </si>
  <si>
    <t>18.04.26 a 21.04</t>
  </si>
  <si>
    <t>Vinicius Sobaina de Oliveira</t>
  </si>
  <si>
    <t>Sergio Luis Poplade</t>
  </si>
  <si>
    <t>cancelou sem reembolso</t>
  </si>
  <si>
    <t>Graziele Aparecida Rodrigues</t>
  </si>
  <si>
    <t>Thiago Aurelio de Oliveira (Kelly)</t>
  </si>
  <si>
    <t>25.03.26 a 27.03</t>
  </si>
  <si>
    <t>Dejane Zonatto</t>
  </si>
  <si>
    <t>30.04.26 a 03.05</t>
  </si>
  <si>
    <t>Erivaldo Tavares</t>
  </si>
  <si>
    <t>Tamires Jusviack Paes</t>
  </si>
  <si>
    <t>Rosani Bortese</t>
  </si>
  <si>
    <t>metallo/acqua</t>
  </si>
  <si>
    <t>Patricia Andreia Pimentel</t>
  </si>
  <si>
    <t>Tais de Matos Rosa</t>
  </si>
  <si>
    <t>Yara Gontijo</t>
  </si>
  <si>
    <t>Roberito Munaretto Rocha</t>
  </si>
  <si>
    <t>Camila Fernanda Sampaio</t>
  </si>
  <si>
    <t>Mauro Baqui</t>
  </si>
  <si>
    <t>28.03.26 a 29.03</t>
  </si>
  <si>
    <t>Silvia Fossa Schulze</t>
  </si>
  <si>
    <t>19.04.26 a 21.04</t>
  </si>
  <si>
    <t>Volni Oscar do Amaral Antunes</t>
  </si>
  <si>
    <t>09.04.26 a 11.04</t>
  </si>
  <si>
    <t>Pablo Fitermann</t>
  </si>
  <si>
    <t>31.03.26 a 03.04</t>
  </si>
  <si>
    <t>Uruguai</t>
  </si>
  <si>
    <t>Maria de jesus Faria</t>
  </si>
  <si>
    <t>pix ou link</t>
  </si>
  <si>
    <t>Vanderlei Batista</t>
  </si>
  <si>
    <t>Cheyanni Bressan</t>
  </si>
  <si>
    <t>Ricardo Antonio Marouco</t>
  </si>
  <si>
    <t>Grazielle Campos Tessmann</t>
  </si>
  <si>
    <t>02.04.26 a 04.04</t>
  </si>
  <si>
    <t>Patricia Seady</t>
  </si>
  <si>
    <t>Samuel Cunha</t>
  </si>
  <si>
    <t>01.05.26 a 03.05</t>
  </si>
  <si>
    <t>cam barco abril</t>
  </si>
  <si>
    <t>R$ 1.470,00</t>
  </si>
  <si>
    <t>Lizete Maria Caccato</t>
  </si>
  <si>
    <t>24.04.26 a 26.04</t>
  </si>
  <si>
    <t>Fabio Roberto de Jesus</t>
  </si>
  <si>
    <t>vip</t>
  </si>
  <si>
    <t>Jovane Rodrigues Lourenco</t>
  </si>
  <si>
    <t>Jeferson Lima de Souza (Andressa Souza)</t>
  </si>
  <si>
    <t>CAM BAR ABR</t>
  </si>
  <si>
    <t>Vanessa Jaqueline dos Santos Roza</t>
  </si>
  <si>
    <t>Patricia Chicanoski Bulkoski</t>
  </si>
  <si>
    <t>22.04.26 a 27.04</t>
  </si>
  <si>
    <t>Dirlene Aureles dos Santos</t>
  </si>
  <si>
    <t>Gervasio Avancini</t>
  </si>
  <si>
    <t>Gilmar Valdemar Machado</t>
  </si>
  <si>
    <t>devolucao em 22.04</t>
  </si>
  <si>
    <t>Robson Hofelmann</t>
  </si>
  <si>
    <t>Amarildo Jose Martendal Correa</t>
  </si>
  <si>
    <t>Leticia Alves</t>
  </si>
  <si>
    <t>Vanessa Karine Alves</t>
  </si>
  <si>
    <t>Liziane de Borba Pereira</t>
  </si>
  <si>
    <t>01.03.26 a 03.05</t>
  </si>
  <si>
    <t>Carmen Lucia Rodrigues</t>
  </si>
  <si>
    <t>link 4x427</t>
  </si>
  <si>
    <t>PAGAMENTO BOOKING 50% APOS A RESERVA</t>
  </si>
  <si>
    <t>DATA RESERVA</t>
  </si>
  <si>
    <t>RESERVA</t>
  </si>
  <si>
    <t>HOSPEDE</t>
  </si>
  <si>
    <t>ACOMODAÇÃO</t>
  </si>
  <si>
    <t>VALOR TOTAL</t>
  </si>
  <si>
    <t>COMISSAO</t>
  </si>
  <si>
    <t>A RECEBER</t>
  </si>
  <si>
    <t>RECEBIDO</t>
  </si>
  <si>
    <t>CARTÃO</t>
  </si>
  <si>
    <t>Ricardo Miranda</t>
  </si>
  <si>
    <t>credito 29.03</t>
  </si>
  <si>
    <t>Priscyla Penteado</t>
  </si>
  <si>
    <t>credito 04.04</t>
  </si>
  <si>
    <t>Raquel de Alencar</t>
  </si>
  <si>
    <t>credito 14.04</t>
  </si>
  <si>
    <t>Nadia Resende</t>
  </si>
  <si>
    <t>03.05 a 04.05</t>
  </si>
  <si>
    <t>sem cartao</t>
  </si>
  <si>
    <t>Assumpção Maria</t>
  </si>
  <si>
    <t>credito 05.08</t>
  </si>
  <si>
    <t>Luiza Felix</t>
  </si>
  <si>
    <t>11.12 a 14.12</t>
  </si>
  <si>
    <t>credito 28.05</t>
  </si>
  <si>
    <t>cancelado 02.12</t>
  </si>
  <si>
    <t>Miranda Villagra Soledad</t>
  </si>
  <si>
    <t>12.01 a 20.01</t>
  </si>
  <si>
    <t>credito 05.06</t>
  </si>
  <si>
    <t>Katia Marchi</t>
  </si>
  <si>
    <t>12.07 a 15.07</t>
  </si>
  <si>
    <t>credito 15.07</t>
  </si>
  <si>
    <t>Felipe Marques</t>
  </si>
  <si>
    <t>17.09 a 21.09</t>
  </si>
  <si>
    <t>credito 25.06</t>
  </si>
  <si>
    <t>Ricardo Augusto Stoeberl Essig</t>
  </si>
  <si>
    <t>11.09 a 14.09</t>
  </si>
  <si>
    <t>54cartao vencido</t>
  </si>
  <si>
    <t>nao alterou cartao</t>
  </si>
  <si>
    <t>Ana Paula Rosner</t>
  </si>
  <si>
    <t>12.01.26 a 17.01</t>
  </si>
  <si>
    <t>credito 20.08</t>
  </si>
  <si>
    <t>Mônica Mary Sbabo</t>
  </si>
  <si>
    <t>20.02 a 23.02</t>
  </si>
  <si>
    <t>credito 04.08</t>
  </si>
  <si>
    <t>reembolso em 22.01</t>
  </si>
  <si>
    <t>cancelada em 14.01.26</t>
  </si>
  <si>
    <t>Lisana Cardoso</t>
  </si>
  <si>
    <t>19.12 a 23.12</t>
  </si>
  <si>
    <t>jose braga</t>
  </si>
  <si>
    <t>29.12 a 05.01</t>
  </si>
  <si>
    <t>reembolso em 29.08 pix</t>
  </si>
  <si>
    <t>Giancarlo Gambim</t>
  </si>
  <si>
    <t>18.01 a 24.01</t>
  </si>
  <si>
    <t>reembolso em 01.12 pix</t>
  </si>
  <si>
    <t>cancelada em 03.11 nao e possivel enviar msg</t>
  </si>
  <si>
    <t>25.12 a 01.01</t>
  </si>
  <si>
    <t>Lifeson Correia</t>
  </si>
  <si>
    <t>17.08 a 18.08</t>
  </si>
  <si>
    <t>conta encerrada</t>
  </si>
  <si>
    <t>Michele Schoenfelder</t>
  </si>
  <si>
    <t>17.04.26 a 19.04</t>
  </si>
  <si>
    <t>credito 08.08</t>
  </si>
  <si>
    <t>Pedro Freitas</t>
  </si>
  <si>
    <t>25.12.25 a 02.01</t>
  </si>
  <si>
    <t>credito 15.08</t>
  </si>
  <si>
    <t>Manuela Soler</t>
  </si>
  <si>
    <t>09.02.26 a 19.02</t>
  </si>
  <si>
    <t>credito 18.08</t>
  </si>
  <si>
    <t>cancelada em 22.01.26</t>
  </si>
  <si>
    <t>cancelada em 05.01</t>
  </si>
  <si>
    <t>GLEICE Silverio</t>
  </si>
  <si>
    <t>09.01.26 a 13.01</t>
  </si>
  <si>
    <t>credito 21.08</t>
  </si>
  <si>
    <t>Eline Lima</t>
  </si>
  <si>
    <t>credito 24.08</t>
  </si>
  <si>
    <t>reembolso em 15.10</t>
  </si>
  <si>
    <t>Luiz Antonio de Paula</t>
  </si>
  <si>
    <t>12.10.25 a 16.10</t>
  </si>
  <si>
    <t>credito 01.09</t>
  </si>
  <si>
    <t>clara avila</t>
  </si>
  <si>
    <t>credito 06.09</t>
  </si>
  <si>
    <t>cancelada em 12.09 enviada msg</t>
  </si>
  <si>
    <t>Douglas Melo</t>
  </si>
  <si>
    <t>17.10.25 a 20.10</t>
  </si>
  <si>
    <t>credito 05.09</t>
  </si>
  <si>
    <t>carolina solis</t>
  </si>
  <si>
    <t>Xia Yongquan</t>
  </si>
  <si>
    <t>05.01.26 a 09.01</t>
  </si>
  <si>
    <t>Gisele Brondolt</t>
  </si>
  <si>
    <t>08.01.26 a 12.01</t>
  </si>
  <si>
    <t>nao autorizado</t>
  </si>
  <si>
    <t>nao autorizada</t>
  </si>
  <si>
    <t>Victor Silva</t>
  </si>
  <si>
    <t>05.01.25 a 12.01</t>
  </si>
  <si>
    <t>credito 12.09</t>
  </si>
  <si>
    <t>reembolso em 09.10 pix</t>
  </si>
  <si>
    <t>Glaucia Megna</t>
  </si>
  <si>
    <t>26.12.25 a 03.01</t>
  </si>
  <si>
    <t>credito 19.09</t>
  </si>
  <si>
    <t>Lopez Liliana</t>
  </si>
  <si>
    <t>27.01.26 a 31.01</t>
  </si>
  <si>
    <t>credito 22.09</t>
  </si>
  <si>
    <t>Edemar Mendes</t>
  </si>
  <si>
    <t>credito 25.05</t>
  </si>
  <si>
    <t>Luis Quiroz</t>
  </si>
  <si>
    <t>29.12.25 a 10.01</t>
  </si>
  <si>
    <t>credito 27.09</t>
  </si>
  <si>
    <t>Rodrigo Goulart</t>
  </si>
  <si>
    <t>09.03.26 a 17.03</t>
  </si>
  <si>
    <t>credito 01.10</t>
  </si>
  <si>
    <t>cencelada cielo em 26.01</t>
  </si>
  <si>
    <t>cancelada em 16.01.26</t>
  </si>
  <si>
    <t>Gustavo de Luccia Justina</t>
  </si>
  <si>
    <t>credito 04.10</t>
  </si>
  <si>
    <t>Danieli jesus</t>
  </si>
  <si>
    <t>02.01.26 a 04.01</t>
  </si>
  <si>
    <t>credito 08.10</t>
  </si>
  <si>
    <t>NF não emitida</t>
  </si>
  <si>
    <t>cancelada em 23.11 enviada msg</t>
  </si>
  <si>
    <t>Hebert Sansanovicz</t>
  </si>
  <si>
    <t>13.12.25 a 15.12</t>
  </si>
  <si>
    <t>credito 09.10</t>
  </si>
  <si>
    <t>Sergio Dutto</t>
  </si>
  <si>
    <t>25.01.26 a 07.02</t>
  </si>
  <si>
    <t>credito 11.10</t>
  </si>
  <si>
    <t>cancelada em 23.10 enviada msg/solicitado cancelamento em 19.12</t>
  </si>
  <si>
    <t>Cristiano Rodrigo Brandenburg</t>
  </si>
  <si>
    <t>05.01.26 a 12.01</t>
  </si>
  <si>
    <t>credito 17.10</t>
  </si>
  <si>
    <t>Lauane Fantinel de Oliveira</t>
  </si>
  <si>
    <t>Não compareceu</t>
  </si>
  <si>
    <t>Marci Maestri</t>
  </si>
  <si>
    <t>credito 22.10</t>
  </si>
  <si>
    <t>Alessandro Inacio</t>
  </si>
  <si>
    <t>20.12.25 a 26.12</t>
  </si>
  <si>
    <t>credito 26.10</t>
  </si>
  <si>
    <t>Allan Evans</t>
  </si>
  <si>
    <t>25.01.26 a 02.02</t>
  </si>
  <si>
    <t>cancelada na pousada</t>
  </si>
  <si>
    <t>Ana Carla Machado Araujo</t>
  </si>
  <si>
    <t>21.11.25 a 23.11</t>
  </si>
  <si>
    <t>credito 06.11</t>
  </si>
  <si>
    <t>cancelada em 06.11 enviada msg</t>
  </si>
  <si>
    <t>23.01.26 a 29.01</t>
  </si>
  <si>
    <t>credito 10.11</t>
  </si>
  <si>
    <t>23.01.26 a29.01</t>
  </si>
  <si>
    <t>Gisele Echeverria</t>
  </si>
  <si>
    <t>15.11.25 a 16.11</t>
  </si>
  <si>
    <t>credito 12.11</t>
  </si>
  <si>
    <t>Otiniel Paiva</t>
  </si>
  <si>
    <t>23.02.26 a 25.02</t>
  </si>
  <si>
    <t>credito 16.11</t>
  </si>
  <si>
    <t>Itai Rzonsinski</t>
  </si>
  <si>
    <t>19.02.26 a 23.02</t>
  </si>
  <si>
    <t>credito 19.11</t>
  </si>
  <si>
    <t>NF nao emitida</t>
  </si>
  <si>
    <t>Leonardo Wuaden</t>
  </si>
  <si>
    <t>14.12.25 a 19.12</t>
  </si>
  <si>
    <t>credito 22.11</t>
  </si>
  <si>
    <t>Maria Esther Branca Scaramellini</t>
  </si>
  <si>
    <t>19.01.26 a 23.01</t>
  </si>
  <si>
    <t>credito 27.11</t>
  </si>
  <si>
    <t>Lucia Doz Costa</t>
  </si>
  <si>
    <t>24.01.26 a 29.01</t>
  </si>
  <si>
    <t>credito 08.12</t>
  </si>
  <si>
    <t>Ruan Oviedo</t>
  </si>
  <si>
    <t>24.01.26 a 30.01</t>
  </si>
  <si>
    <t>Guillermo Insua</t>
  </si>
  <si>
    <t>15.03.26 a 24.03</t>
  </si>
  <si>
    <t>credito 28.12</t>
  </si>
  <si>
    <t>cancelado cielo em 29.01</t>
  </si>
  <si>
    <t>cancelada em 01.01 msg enviada em 02.01</t>
  </si>
  <si>
    <t>Alves Mario</t>
  </si>
  <si>
    <t>19.02.26 a 22.02</t>
  </si>
  <si>
    <t>wwod</t>
  </si>
  <si>
    <t>credito 31.12</t>
  </si>
  <si>
    <t>Diez Mercedes</t>
  </si>
  <si>
    <t>credito 01.01</t>
  </si>
  <si>
    <t>Daniela Sales</t>
  </si>
  <si>
    <t>banco fora do ar</t>
  </si>
  <si>
    <t>Fiorella Maria Scorza Serran</t>
  </si>
  <si>
    <t>credito em 02.01</t>
  </si>
  <si>
    <t>cancelada em 02.01 e cancelado na cielo em 03.01</t>
  </si>
  <si>
    <t>cancelada em 02.01 e cancelado na cielo em 03.02</t>
  </si>
  <si>
    <t>Villarreal Alejandra</t>
  </si>
  <si>
    <t>02.03.26 a 08.03</t>
  </si>
  <si>
    <t>marcado como cartao invalido em 03.01</t>
  </si>
  <si>
    <t>Andrade Paula</t>
  </si>
  <si>
    <t>26.03.26 a 29.03</t>
  </si>
  <si>
    <t>credito em 05.01</t>
  </si>
  <si>
    <t>pix em 14.01.26</t>
  </si>
  <si>
    <t>cancelada em 06.01 enviada msg</t>
  </si>
  <si>
    <t>Natalia Camia</t>
  </si>
  <si>
    <t>05.02.26 a 13.02</t>
  </si>
  <si>
    <t>Casa Aragua</t>
  </si>
  <si>
    <t>cancelou em 05.01 - cancelado cielo 08.01</t>
  </si>
  <si>
    <t>Leticia CUnha Pereira</t>
  </si>
  <si>
    <t>13.02.26 a 19.02</t>
  </si>
  <si>
    <t>cancelada errada</t>
  </si>
  <si>
    <t>Carla Alberoni</t>
  </si>
  <si>
    <t>31.01.26 a 08.02</t>
  </si>
  <si>
    <t>credito em 08.01</t>
  </si>
  <si>
    <t>cancelada cielo em 10.02 boleto</t>
  </si>
  <si>
    <t>cancelada em 08.01 enviada msg</t>
  </si>
  <si>
    <t>John Dietze</t>
  </si>
  <si>
    <t>02.02.26 a 10.02</t>
  </si>
  <si>
    <t>Franco Monteiro</t>
  </si>
  <si>
    <t>contate central</t>
  </si>
  <si>
    <t>enviado msg no booking</t>
  </si>
  <si>
    <t>marcado como invalido 12.01</t>
  </si>
  <si>
    <t>Carine Marlene schneider</t>
  </si>
  <si>
    <t>26.02.26 a 02.03</t>
  </si>
  <si>
    <t>credito em 12.01</t>
  </si>
  <si>
    <t>Adriana Gomes</t>
  </si>
  <si>
    <t>03.03.26 a 12.03</t>
  </si>
  <si>
    <t>credito em 14.01</t>
  </si>
  <si>
    <t>Thayssa Londero</t>
  </si>
  <si>
    <t>27.02.26 a 07.03</t>
  </si>
  <si>
    <t>Longen Benoni Junior</t>
  </si>
  <si>
    <t>17.1.26 a 18.01</t>
  </si>
  <si>
    <t>Kossina Sidiane</t>
  </si>
  <si>
    <t>23.02.26 a 27.01</t>
  </si>
  <si>
    <t>pix em 15.01</t>
  </si>
  <si>
    <t>Evangelina Villegas</t>
  </si>
  <si>
    <t>credtio em 17.01</t>
  </si>
  <si>
    <t>Andre Morgan</t>
  </si>
  <si>
    <t>credito em 19.01</t>
  </si>
  <si>
    <t>Monteiro Jefferson</t>
  </si>
  <si>
    <t>01.02.26 a 04.02</t>
  </si>
  <si>
    <t>credito em 28.01</t>
  </si>
  <si>
    <t>Nicolas Lieber</t>
  </si>
  <si>
    <t>28.03.26 a 01.04</t>
  </si>
  <si>
    <t>credito em 22.03</t>
  </si>
  <si>
    <t>comissao paga</t>
  </si>
  <si>
    <t>VALOR RECEBIDO TEMPORADA</t>
  </si>
  <si>
    <t>PASSEIO DE BARCO</t>
  </si>
  <si>
    <t>criança até 6 anos não paga</t>
  </si>
  <si>
    <t>SETEMBRO</t>
  </si>
  <si>
    <t>de 6 a 11 paga meia</t>
  </si>
  <si>
    <t>a partir de 12 anos como adulto</t>
  </si>
  <si>
    <t>PESSOAS</t>
  </si>
  <si>
    <t>NOME DA RESERVA</t>
  </si>
  <si>
    <t>Sergio Alberto Galdino Jr.</t>
  </si>
  <si>
    <t>cafe bonus no sabado</t>
  </si>
  <si>
    <t>Karlin Liomara</t>
  </si>
  <si>
    <t>OUTUBRO</t>
  </si>
  <si>
    <t>Denise Portela</t>
  </si>
  <si>
    <t>1 criança de 3 anos</t>
  </si>
  <si>
    <t>1 criança 3 anos</t>
  </si>
  <si>
    <t>Jose Antonio Cubas</t>
  </si>
  <si>
    <t>Helen Gabriela Cassola</t>
  </si>
  <si>
    <t>chega no sabado</t>
  </si>
  <si>
    <t>passeio domingo</t>
  </si>
  <si>
    <t>Brenda Leticia de Souza (Beh)</t>
  </si>
  <si>
    <t>1 criança 1 ano</t>
  </si>
  <si>
    <t>adriano Maciel Parizotto</t>
  </si>
  <si>
    <t>9 e 13 anos</t>
  </si>
  <si>
    <t>Kimberly Cristina Biscaia Kusch</t>
  </si>
  <si>
    <t>bebe + criança 5 anos</t>
  </si>
  <si>
    <t>Thais Cristiane Domingues</t>
  </si>
  <si>
    <t>crianca de 5</t>
  </si>
  <si>
    <t>Elaine Ribeiro Rosa</t>
  </si>
  <si>
    <t>Morgana Tamara</t>
  </si>
  <si>
    <t>Mauro Amancio e Carol</t>
  </si>
  <si>
    <t>Hilário e Silvana</t>
  </si>
  <si>
    <t>Marco Aurelio e Marlene</t>
  </si>
  <si>
    <t>Elenita Hodecker</t>
  </si>
  <si>
    <t>Flora   Costa</t>
  </si>
  <si>
    <t>NOVEMBRO</t>
  </si>
  <si>
    <t>Aldair Koaki</t>
  </si>
  <si>
    <t>2 criancas 5 e 2 anos</t>
  </si>
  <si>
    <t>Taise Marques</t>
  </si>
  <si>
    <t>Ana Maria</t>
  </si>
  <si>
    <t>Micheli pisone</t>
  </si>
  <si>
    <t>1 criança 5 anos</t>
  </si>
  <si>
    <t>Anderson Ferraz</t>
  </si>
  <si>
    <t>domingo</t>
  </si>
  <si>
    <t>Fabyane Maziero</t>
  </si>
  <si>
    <t>1 bebe</t>
  </si>
  <si>
    <t>crianca 6 anos</t>
  </si>
  <si>
    <t>Reginaldo e Soraya</t>
  </si>
  <si>
    <t>Flavio e Vanessa</t>
  </si>
  <si>
    <t>4 e 7 anos</t>
  </si>
  <si>
    <t xml:space="preserve">jean e Mayse </t>
  </si>
  <si>
    <t>4 e 5 anos</t>
  </si>
  <si>
    <t>Gennigs</t>
  </si>
  <si>
    <t>Tamires</t>
  </si>
  <si>
    <t>1 crianca 4 anos</t>
  </si>
  <si>
    <t xml:space="preserve">Charles </t>
  </si>
  <si>
    <t>1 crianca 8 anos</t>
  </si>
  <si>
    <t xml:space="preserve">Daniel </t>
  </si>
  <si>
    <t>1 crianca 5 anos</t>
  </si>
  <si>
    <t>Daniela</t>
  </si>
  <si>
    <t>Ademir de Oliveira</t>
  </si>
  <si>
    <t>1 criança 2 anos</t>
  </si>
  <si>
    <t>David</t>
  </si>
  <si>
    <t>DEZEMBRO</t>
  </si>
  <si>
    <t>Joao Berto</t>
  </si>
  <si>
    <t>Augusto Andrade</t>
  </si>
  <si>
    <t>15 e 7 anos</t>
  </si>
  <si>
    <t>vanessa Chilanti</t>
  </si>
  <si>
    <t>8 anos</t>
  </si>
  <si>
    <t>marcelo Vicini</t>
  </si>
  <si>
    <t>Joao Roberto</t>
  </si>
  <si>
    <t>Florencia</t>
  </si>
  <si>
    <t>natalia lorena</t>
  </si>
  <si>
    <t>1 meia</t>
  </si>
  <si>
    <t>Damian Matias</t>
  </si>
  <si>
    <t>1 de 6 anos</t>
  </si>
  <si>
    <t>MAIO</t>
  </si>
  <si>
    <t>Josiane Borges da silva</t>
  </si>
  <si>
    <t>pg</t>
  </si>
  <si>
    <t>JUNHO</t>
  </si>
  <si>
    <t>Marcos Antonio Silveira</t>
  </si>
  <si>
    <t>Adriana da silva Ribeiro</t>
  </si>
  <si>
    <t>JULHO</t>
  </si>
  <si>
    <t>Milena Vizentin</t>
  </si>
  <si>
    <t>AGOSTO</t>
  </si>
  <si>
    <t>Valdecira Garcia</t>
  </si>
  <si>
    <t>Susana Augustinho</t>
  </si>
  <si>
    <t>não quiseram passeio</t>
  </si>
  <si>
    <t>Luana francielle</t>
  </si>
  <si>
    <t>Adriano Martins</t>
  </si>
  <si>
    <t>Luciana Gatto</t>
  </si>
  <si>
    <t>Sergio Neves</t>
  </si>
  <si>
    <t>Willian Antonio macedo</t>
  </si>
  <si>
    <t>Fernando Santos</t>
  </si>
  <si>
    <t>jorge Luiz</t>
  </si>
  <si>
    <t>Suzana Laemmel</t>
  </si>
  <si>
    <t>Emerson luis</t>
  </si>
  <si>
    <t>Morena Stumpf</t>
  </si>
  <si>
    <t>Waldemir salvador</t>
  </si>
  <si>
    <t>Cristina Souza</t>
  </si>
  <si>
    <t>Tatiane David</t>
  </si>
  <si>
    <t>Williane Oliveira</t>
  </si>
  <si>
    <t>Luan Michel</t>
  </si>
  <si>
    <t xml:space="preserve">Dioneia de Cássia </t>
  </si>
  <si>
    <t>Mailane oliveira</t>
  </si>
  <si>
    <t>Edlayne Leite</t>
  </si>
  <si>
    <t>Eliane Costa</t>
  </si>
  <si>
    <t>Bruno de Barros</t>
  </si>
  <si>
    <t>Alessandra Dede</t>
  </si>
  <si>
    <t>não chegou a tempo</t>
  </si>
  <si>
    <t>Luciele Maria</t>
  </si>
  <si>
    <t>entre 26 e 30</t>
  </si>
  <si>
    <t>JANEIRO</t>
  </si>
  <si>
    <t>entre 26 e 03.01</t>
  </si>
  <si>
    <t>Diego Chalanza</t>
  </si>
  <si>
    <t>criancas 9/11 anos</t>
  </si>
  <si>
    <t>RESERVAS BOOKING</t>
  </si>
  <si>
    <t>SUITE</t>
  </si>
  <si>
    <t>VALOR</t>
  </si>
  <si>
    <t>CONTATO</t>
  </si>
  <si>
    <t>OBS</t>
  </si>
  <si>
    <t>Eduardo Ignacio</t>
  </si>
  <si>
    <r>
      <rPr>
        <rFont val="Roboto, &quot;Helvetica Neue&quot;, Helvetica, Arial, sans-serif"/>
        <color rgb="FF1C4587"/>
        <sz val="9.0"/>
      </rPr>
      <t>47 99291 2827</t>
    </r>
  </si>
  <si>
    <t>Medeiros Barbara</t>
  </si>
  <si>
    <r>
      <rPr>
        <rFont val="Roboto, &quot;Helvetica Neue&quot;, Helvetica, Arial, sans-serif"/>
        <color rgb="FFFF0000"/>
        <sz val="9.0"/>
      </rPr>
      <t>48 98504 1143</t>
    </r>
  </si>
  <si>
    <t>Isabela Correa Santos</t>
  </si>
  <si>
    <t>14.09 a 15.09</t>
  </si>
  <si>
    <r>
      <rPr>
        <rFont val="Arial, Helvetica, sans-serif"/>
        <color theme="4"/>
      </rPr>
      <t>47 98860 8880</t>
    </r>
  </si>
  <si>
    <t>Diego Pereira</t>
  </si>
  <si>
    <t>20.09 a 22.09</t>
  </si>
  <si>
    <r>
      <rPr>
        <rFont val="Arial, Helvetica, sans-serif"/>
        <color rgb="FF156082"/>
      </rPr>
      <t>41 98522 1922</t>
    </r>
  </si>
  <si>
    <r>
      <rPr>
        <rFont val="Arial, Helvetica, sans-serif"/>
        <color rgb="FFFF0000"/>
      </rPr>
      <t>Elton Knihs</t>
    </r>
  </si>
  <si>
    <r>
      <rPr>
        <rFont val="Arial, Helvetica, sans-serif"/>
        <color rgb="FFFF0000"/>
      </rPr>
      <t>47 98848 2721</t>
    </r>
  </si>
  <si>
    <t>cancelado mas foi pago no pix para a pousada</t>
  </si>
  <si>
    <r>
      <rPr>
        <rFont val="Arial, Helvetica, sans-serif"/>
        <color theme="4"/>
      </rPr>
      <t>schlindwein karlin liomara</t>
    </r>
  </si>
  <si>
    <r>
      <rPr>
        <rFont val="Arial, Helvetica, sans-serif"/>
        <color theme="4"/>
      </rPr>
      <t>49 99825 9986</t>
    </r>
  </si>
  <si>
    <t>02.10 a 06.10</t>
  </si>
  <si>
    <t>41 99996 2343</t>
  </si>
  <si>
    <t>Ricardo Tovar</t>
  </si>
  <si>
    <t>03.10 a 05.10</t>
  </si>
  <si>
    <t> 21 99985 8192 </t>
  </si>
  <si>
    <t>2x cartão</t>
  </si>
  <si>
    <t>Alan Jesus</t>
  </si>
  <si>
    <t>21.10 a 25.10</t>
  </si>
  <si>
    <t>41 99727 6052</t>
  </si>
  <si>
    <t>Proto Claudio</t>
  </si>
  <si>
    <t>21.10 a 23.10</t>
  </si>
  <si>
    <t>combinado que será pago tudo no check in</t>
  </si>
  <si>
    <t>Ana Heloisa Batista Gonçalves</t>
  </si>
  <si>
    <t>24.10 a 27.10</t>
  </si>
  <si>
    <t>41 99669 5016</t>
  </si>
  <si>
    <r>
      <rPr>
        <rFont val="Arial, Helvetica, sans-serif"/>
        <color theme="4"/>
      </rPr>
      <t>Caroline Carvalho da Costa Lima Landim</t>
    </r>
  </si>
  <si>
    <r>
      <rPr>
        <rFont val="Arial, Helvetica, sans-serif"/>
        <color theme="4"/>
      </rPr>
      <t>21 99853 8819</t>
    </r>
  </si>
  <si>
    <t>Isabela Bittencourt</t>
  </si>
  <si>
    <t>11,10 a 12.10</t>
  </si>
  <si>
    <t>47 99188 0101</t>
  </si>
  <si>
    <t>Tiago Gabriel Coferri</t>
  </si>
  <si>
    <t>54 98441 7146</t>
  </si>
  <si>
    <t>454,00 mais 1 diaria</t>
  </si>
  <si>
    <t>Antonio Junior</t>
  </si>
  <si>
    <t>11 98336 0516 </t>
  </si>
  <si>
    <r>
      <rPr>
        <rFont val="Arial, Helvetica, sans-serif"/>
        <color rgb="FFFF0000"/>
      </rPr>
      <t>Reginaldo Luiz Squizatti</t>
    </r>
  </si>
  <si>
    <r>
      <rPr>
        <rFont val="Arial, Helvetica, sans-serif"/>
        <color rgb="FFFF0000"/>
      </rPr>
      <t>47 99947 8711</t>
    </r>
  </si>
  <si>
    <r>
      <rPr>
        <rFont val="Arial, Helvetica, sans-serif"/>
        <color rgb="FFFF0000"/>
      </rPr>
      <t>Mariana Marcon</t>
    </r>
  </si>
  <si>
    <t>30.11 a 03.12</t>
  </si>
  <si>
    <r>
      <rPr>
        <rFont val="Arial, Helvetica, sans-serif"/>
        <color rgb="FFFF0000"/>
      </rPr>
      <t>41 99944 8176</t>
    </r>
  </si>
  <si>
    <r>
      <rPr>
        <rFont val="Arial, Helvetica, sans-serif"/>
        <color rgb="FFFF0000"/>
      </rPr>
      <t>ANDRE LOURENCO</t>
    </r>
  </si>
  <si>
    <t>Daniel Gustavo Mendes</t>
  </si>
  <si>
    <r>
      <t>41 99655 5382</t>
    </r>
  </si>
  <si>
    <t>Fernanda Valengo</t>
  </si>
  <si>
    <t>41 99500 4500</t>
  </si>
  <si>
    <t>JANOS LIMA DE FARIAS</t>
  </si>
  <si>
    <t>11 95590 6003</t>
  </si>
  <si>
    <t>Marcos evangelista</t>
  </si>
  <si>
    <t>08.11 a10.11</t>
  </si>
  <si>
    <t>41 99183 8387</t>
  </si>
  <si>
    <t>Daniel Faria</t>
  </si>
  <si>
    <t>48 99105 1099</t>
  </si>
  <si>
    <t>Douglas Grippa</t>
  </si>
  <si>
    <t>15.11 a 17.11</t>
  </si>
  <si>
    <t>47 99958 4244</t>
  </si>
  <si>
    <t>Kleber Trabaquini</t>
  </si>
  <si>
    <t>17.11 a 18.11</t>
  </si>
  <si>
    <t>48 99868 7600</t>
  </si>
  <si>
    <t>Daniela Akagui</t>
  </si>
  <si>
    <t>21.11 a 24.11</t>
  </si>
  <si>
    <t>15 98114 0441</t>
  </si>
  <si>
    <t>martins Bruno</t>
  </si>
  <si>
    <t>30.11 a 01.12</t>
  </si>
  <si>
    <t>47 98492 9449</t>
  </si>
  <si>
    <t>Ferreira Fabiane</t>
  </si>
  <si>
    <t>15.12 a 19.12</t>
  </si>
  <si>
    <t>46 99905 8060 </t>
  </si>
  <si>
    <r>
      <rPr>
        <rFont val="Arial, Helvetica, sans-serif"/>
        <color rgb="FFFF0000"/>
      </rPr>
      <t>Dessotti Izabella</t>
    </r>
  </si>
  <si>
    <t>08.12 a 12.12</t>
  </si>
  <si>
    <r>
      <rPr>
        <rFont val="Arial, Helvetica, sans-serif"/>
        <color rgb="FFFF0000"/>
      </rPr>
      <t>48 99929 9879</t>
    </r>
  </si>
  <si>
    <t>Bruna Viana</t>
  </si>
  <si>
    <t>03.12 a 06.12</t>
  </si>
  <si>
    <r>
      <rPr>
        <rFont val="Arial, Helvetica, sans-serif"/>
        <color rgb="FFFF0000"/>
      </rPr>
      <t>11 97463 2019</t>
    </r>
  </si>
  <si>
    <r>
      <rPr>
        <rFont val="Arial, Helvetica, sans-serif"/>
        <color rgb="FFFF0000"/>
      </rPr>
      <t>Gisele Hotta</t>
    </r>
  </si>
  <si>
    <t>14.12 a 16.12</t>
  </si>
  <si>
    <r>
      <rPr>
        <rFont val="Arial, Helvetica, sans-serif"/>
        <color rgb="FFFF0000"/>
      </rPr>
      <t>43 99698 0494</t>
    </r>
  </si>
  <si>
    <t>cancelada (mandei msg no chat)</t>
  </si>
  <si>
    <r>
      <rPr>
        <rFont val="Arial, Helvetica, sans-serif"/>
        <color rgb="FFFF0000"/>
      </rPr>
      <t>Mary Ane Melo Nunes</t>
    </r>
  </si>
  <si>
    <t>09.12 A 12.12</t>
  </si>
  <si>
    <t>WOOD</t>
  </si>
  <si>
    <r>
      <rPr>
        <rFont val="Arial, Helvetica, sans-serif"/>
        <color rgb="FFFF0000"/>
      </rPr>
      <t>41 99969 5856</t>
    </r>
  </si>
  <si>
    <r>
      <rPr>
        <rFont val="Arial, Helvetica, sans-serif"/>
        <color rgb="FFFF0000"/>
      </rPr>
      <t>Monica Raeder</t>
    </r>
  </si>
  <si>
    <t>13.12 a 18.12</t>
  </si>
  <si>
    <r>
      <rPr>
        <rFont val="Arial, Helvetica, sans-serif"/>
        <color rgb="FFFF0000"/>
      </rPr>
      <t>41 99715 2549</t>
    </r>
  </si>
  <si>
    <t>cancelou e fez direto com a gente</t>
  </si>
  <si>
    <r>
      <rPr>
        <rFont val="Arial, Helvetica, sans-serif"/>
        <color theme="4"/>
      </rPr>
      <t>Vinicius Dias Schmoller</t>
    </r>
  </si>
  <si>
    <t>16.12 a 18.12</t>
  </si>
  <si>
    <r>
      <rPr>
        <rFont val="Arial, Helvetica, sans-serif"/>
        <color theme="4"/>
      </rPr>
      <t>48 99161 0820</t>
    </r>
  </si>
  <si>
    <t>GABRIELLE DEMOZZI</t>
  </si>
  <si>
    <t>26.12 a 02.01</t>
  </si>
  <si>
    <t>55 99686 8099</t>
  </si>
  <si>
    <t>Valeria Dos Reis</t>
  </si>
  <si>
    <t>29.12 a 02.01</t>
  </si>
  <si>
    <t>54 376 422 1420</t>
  </si>
  <si>
    <t>RODRIGO CRAVEIRO</t>
  </si>
  <si>
    <t>16.12 a 19.12</t>
  </si>
  <si>
    <t>41 99687 1026</t>
  </si>
  <si>
    <t>Jayson Ferrari</t>
  </si>
  <si>
    <t>20.12 a 24.12</t>
  </si>
  <si>
    <t>47 98479 0430</t>
  </si>
  <si>
    <t>Alex Chaves</t>
  </si>
  <si>
    <t>20.12 a 27.12</t>
  </si>
  <si>
    <t>44 98817 5546</t>
  </si>
  <si>
    <t>DECOLAR</t>
  </si>
  <si>
    <t>Tatiane Ricardi</t>
  </si>
  <si>
    <t>47 98906 4796</t>
  </si>
  <si>
    <t>Rafaela Neves</t>
  </si>
  <si>
    <t>10.12 a 12.12</t>
  </si>
  <si>
    <t>21 99009 9235</t>
  </si>
  <si>
    <t>Rodrigo Schneider</t>
  </si>
  <si>
    <t>41 99146 2815</t>
  </si>
  <si>
    <t>Ricardo Renesto</t>
  </si>
  <si>
    <t>19.12 a 21.12</t>
  </si>
  <si>
    <t>11 99990 2288</t>
  </si>
  <si>
    <t>Caroline Schmidt</t>
  </si>
  <si>
    <t>23.12 a 28.12</t>
  </si>
  <si>
    <t>41 99977 3980</t>
  </si>
  <si>
    <t>Marco Henriques</t>
  </si>
  <si>
    <t>27.12 a 28.12</t>
  </si>
  <si>
    <t>11 97322 9102</t>
  </si>
  <si>
    <t>Augusto Santos</t>
  </si>
  <si>
    <t>07.01 a 15.01</t>
  </si>
  <si>
    <r>
      <rPr>
        <rFont val="Arial, Helvetica, sans-serif"/>
        <color theme="4"/>
      </rPr>
      <t>11 99412 1810</t>
    </r>
  </si>
  <si>
    <r>
      <rPr>
        <rFont val="Arial, Helvetica, sans-serif"/>
        <color rgb="FFFF0000"/>
      </rPr>
      <t>Debora Costanzo</t>
    </r>
  </si>
  <si>
    <t>21.01 a 27.01</t>
  </si>
  <si>
    <r>
      <rPr>
        <rFont val="Arial, Helvetica, sans-serif"/>
        <color rgb="FFFF0000"/>
      </rPr>
      <t>11 5496 1505</t>
    </r>
  </si>
  <si>
    <t>Michele Buske</t>
  </si>
  <si>
    <t>06.01 a 09.01</t>
  </si>
  <si>
    <r>
      <rPr>
        <rFont val="Arial, Helvetica, sans-serif"/>
        <color theme="4"/>
      </rPr>
      <t>Nancy Obregon</t>
    </r>
  </si>
  <si>
    <t>06.09 a 09.09</t>
  </si>
  <si>
    <r>
      <rPr>
        <rFont val="Arial, Helvetica, sans-serif"/>
        <color theme="4"/>
      </rPr>
      <t>11 2326 5087</t>
    </r>
  </si>
  <si>
    <r>
      <rPr>
        <rFont val="Arial, Helvetica, sans-serif"/>
        <color rgb="FFFF0000"/>
      </rPr>
      <t>Ademir Vioto</t>
    </r>
  </si>
  <si>
    <t>09.01 A 12.01</t>
  </si>
  <si>
    <r>
      <rPr>
        <rFont val="Arial, Helvetica, sans-serif"/>
        <color rgb="FFFF0000"/>
      </rPr>
      <t>19 99369 7738</t>
    </r>
  </si>
  <si>
    <t>cancelado (mandei msg no chat)</t>
  </si>
  <si>
    <r>
      <rPr>
        <rFont val="Arial, Helvetica, sans-serif"/>
        <color theme="4"/>
      </rPr>
      <t>Hinsching Michele</t>
    </r>
  </si>
  <si>
    <t>09.01 a 12.01</t>
  </si>
  <si>
    <r>
      <rPr>
        <rFont val="Arial, Helvetica, sans-serif"/>
        <color theme="4"/>
      </rPr>
      <t>47 99932 2492</t>
    </r>
  </si>
  <si>
    <r>
      <rPr>
        <rFont val="Arial, Helvetica, sans-serif"/>
        <color rgb="FFFF0000"/>
      </rPr>
      <t>Luciana Padilla Gonzalez</t>
    </r>
  </si>
  <si>
    <t>06.01 a 13.01</t>
  </si>
  <si>
    <r>
      <rPr>
        <rFont val="Arial, Helvetica, sans-serif"/>
        <color rgb="FFFF0000"/>
      </rPr>
      <t>54 351 671 9514</t>
    </r>
  </si>
  <si>
    <r>
      <rPr>
        <rFont val="Arial, Helvetica, sans-serif"/>
        <color theme="4"/>
      </rPr>
      <t>Tatiana da Silva Motta</t>
    </r>
  </si>
  <si>
    <t>05.01 a 12.01</t>
  </si>
  <si>
    <r>
      <rPr>
        <rFont val="Arial, Helvetica, sans-serif"/>
        <color theme="4"/>
      </rPr>
      <t>55 984515166</t>
    </r>
  </si>
  <si>
    <t>Pablo Jara</t>
  </si>
  <si>
    <t>21.01 a 25.01</t>
  </si>
  <si>
    <t>595 992 445211</t>
  </si>
  <si>
    <t>Loyre Wilian Nascimento</t>
  </si>
  <si>
    <t>09.01 a 15.01</t>
  </si>
  <si>
    <t>67 98412 6832</t>
  </si>
  <si>
    <t>alexandre rigobelo</t>
  </si>
  <si>
    <t>PG EM 5X 608,00</t>
  </si>
  <si>
    <t>Nancy Obregon</t>
  </si>
  <si>
    <t>11 2326 5087</t>
  </si>
  <si>
    <t>Magdalena Nallar Issa</t>
  </si>
  <si>
    <t>54 351 595 1499</t>
  </si>
  <si>
    <t>Alessandra Miramontes Lima</t>
  </si>
  <si>
    <t>28.01 a 02.02</t>
  </si>
  <si>
    <t>11 99614 5827</t>
  </si>
  <si>
    <t>THIAGO FURTADO</t>
  </si>
  <si>
    <t>13.01 a 16.01</t>
  </si>
  <si>
    <t>47 99614 6589</t>
  </si>
  <si>
    <t>Charly Techio</t>
  </si>
  <si>
    <t>20.01 a 23.01</t>
  </si>
  <si>
    <t>41 99681 0683</t>
  </si>
  <si>
    <t>cynthia micceli</t>
  </si>
  <si>
    <t>20.01 a 29.01</t>
  </si>
  <si>
    <t>54 351 806 9078</t>
  </si>
  <si>
    <t>Patricia Galbiatti De Lisboa</t>
  </si>
  <si>
    <t>14.01 a 21.01</t>
  </si>
  <si>
    <t>11 97637 4287</t>
  </si>
  <si>
    <t>Vanessa Siqueira Samejima</t>
  </si>
  <si>
    <t>11 98383 9785</t>
  </si>
  <si>
    <t>Gomez Ivan</t>
  </si>
  <si>
    <t>54 9 351 651 2716</t>
  </si>
  <si>
    <t>Elisa Brites</t>
  </si>
  <si>
    <t>07.01 a 10.01</t>
  </si>
  <si>
    <t>47 99106 9223</t>
  </si>
  <si>
    <t>Mariana Viera</t>
  </si>
  <si>
    <t>598 98 567 419</t>
  </si>
  <si>
    <t>Fernando Jurny</t>
  </si>
  <si>
    <t>21.01 a 26.01</t>
  </si>
  <si>
    <t>54 342 446 5095</t>
  </si>
  <si>
    <t>Javier Esteban Sastre</t>
  </si>
  <si>
    <t>54 11 4569 1859</t>
  </si>
  <si>
    <t>Matias Fiore</t>
  </si>
  <si>
    <t>24.01 a 28.01</t>
  </si>
  <si>
    <t>54 341 677 0420</t>
  </si>
  <si>
    <t>Aldana Prola</t>
  </si>
  <si>
    <t>31.01 a 07.02</t>
  </si>
  <si>
    <t>54 11 6159 4538</t>
  </si>
  <si>
    <t>Decolar</t>
  </si>
  <si>
    <t>Krisztian Katona</t>
  </si>
  <si>
    <t>01.01 a 06.01</t>
  </si>
  <si>
    <t>202 210 2583</t>
  </si>
  <si>
    <t>Claudio Dias</t>
  </si>
  <si>
    <t>41 98738 8663</t>
  </si>
  <si>
    <t>Silvina Dondero</t>
  </si>
  <si>
    <t>598 92 196 190</t>
  </si>
  <si>
    <t>Jair Favero</t>
  </si>
  <si>
    <t>13.01 a 17.01</t>
  </si>
  <si>
    <t>47 99620 8825</t>
  </si>
  <si>
    <t>Natali Garro</t>
  </si>
  <si>
    <t>28.01 a 07.01</t>
  </si>
  <si>
    <t>54 2942 35 5270</t>
  </si>
  <si>
    <t>Vitor Corte</t>
  </si>
  <si>
    <t>28.02 a 02.02</t>
  </si>
  <si>
    <t>54 98114 1000</t>
  </si>
  <si>
    <t>Christian Semenoff</t>
  </si>
  <si>
    <t>16.01 a 19.01</t>
  </si>
  <si>
    <t>41 98831 8750</t>
  </si>
  <si>
    <t>Marcelo de Souza Lisboa</t>
  </si>
  <si>
    <t>04.01 a 05.01</t>
  </si>
  <si>
    <t>51 99155 9902</t>
  </si>
  <si>
    <t>Samoel Ricetto</t>
  </si>
  <si>
    <t>03.01 A 05.01</t>
  </si>
  <si>
    <t>41 99933 9244</t>
  </si>
  <si>
    <t>Lorena Guimaraes Thibau</t>
  </si>
  <si>
    <t>22.01 A 25.01</t>
  </si>
  <si>
    <t>34 99924 4758</t>
  </si>
  <si>
    <t>Isaque Kieslark rosa</t>
  </si>
  <si>
    <t>08.01 a 09.01</t>
  </si>
  <si>
    <t>44 7598 234982</t>
  </si>
  <si>
    <t>Renato Sandoval</t>
  </si>
  <si>
    <t>31 98805 0117</t>
  </si>
  <si>
    <t>07.01 a 09.01</t>
  </si>
  <si>
    <t>Valmir Castanha</t>
  </si>
  <si>
    <t>17.01 a 18.01</t>
  </si>
  <si>
    <t>47 98475 5557</t>
  </si>
  <si>
    <t>Joao Paulo Guerra</t>
  </si>
  <si>
    <t>22.01 a 23.01</t>
  </si>
  <si>
    <t>44 99141 6235</t>
  </si>
  <si>
    <t>23.01 a 24.01</t>
  </si>
  <si>
    <t>45 99141 6235</t>
  </si>
  <si>
    <t>Monica Negrizoli</t>
  </si>
  <si>
    <t>29.01 a 01.02</t>
  </si>
  <si>
    <t>44 99949 4240</t>
  </si>
  <si>
    <t>Teodora Stetco</t>
  </si>
  <si>
    <t>28.01 a 01.02</t>
  </si>
  <si>
    <t>44 7856 982305</t>
  </si>
  <si>
    <t>Bruno Imbrizi</t>
  </si>
  <si>
    <t>30.01 a 01.02</t>
  </si>
  <si>
    <t>Rogerio Pereira</t>
  </si>
  <si>
    <t>17.01 a 19.01</t>
  </si>
  <si>
    <t>Erica Prajo</t>
  </si>
  <si>
    <t>19.01 a 20.01</t>
  </si>
  <si>
    <t>55 27 99732 2282</t>
  </si>
  <si>
    <t>FEVEREIRO</t>
  </si>
  <si>
    <t>Martin Graf</t>
  </si>
  <si>
    <t>24.01 A 27.02</t>
  </si>
  <si>
    <t>49 177 5017647</t>
  </si>
  <si>
    <t>Matias Lopez</t>
  </si>
  <si>
    <t>13.02 a 22.02</t>
  </si>
  <si>
    <t>54 9 341 571 4933</t>
  </si>
  <si>
    <t>Sebastian Tello</t>
  </si>
  <si>
    <t>07.02 a 14.02</t>
  </si>
  <si>
    <t>8.859.55</t>
  </si>
  <si>
    <t>56 9 5227 0339</t>
  </si>
  <si>
    <t>Susana Isabel Aguilera Pena</t>
  </si>
  <si>
    <t>07.02 a 14.01</t>
  </si>
  <si>
    <t>56 9 7799 6164</t>
  </si>
  <si>
    <t>Mariana Carioba</t>
  </si>
  <si>
    <t>11 97546 8564</t>
  </si>
  <si>
    <t>Flavio Polese</t>
  </si>
  <si>
    <t>2.02 a 25.02</t>
  </si>
  <si>
    <t>11 97282 4450</t>
  </si>
  <si>
    <t>Danlo Fortes Manoel Stuchi Duarte</t>
  </si>
  <si>
    <t>13 99644 1737</t>
  </si>
  <si>
    <t>Fernando Gomez Pereira</t>
  </si>
  <si>
    <t>14.02 a 20.02</t>
  </si>
  <si>
    <t>595 993 387729</t>
  </si>
  <si>
    <t>carolina valenzuela</t>
  </si>
  <si>
    <t>17.02 a 23.02</t>
  </si>
  <si>
    <t>56 9 9050 2704</t>
  </si>
  <si>
    <t>55 99112 7725</t>
  </si>
  <si>
    <t>Ricki Basmadjian</t>
  </si>
  <si>
    <t>01.02 a 07.02</t>
  </si>
  <si>
    <t>598 99 600 239</t>
  </si>
  <si>
    <t>17.02 A 27.02</t>
  </si>
  <si>
    <t>Sebastian Diaz Diaz</t>
  </si>
  <si>
    <t>15.02 a 22.02</t>
  </si>
  <si>
    <t>54 342 505 7339</t>
  </si>
  <si>
    <t>Debora Iribarrem</t>
  </si>
  <si>
    <t>15.02 a 20.02</t>
  </si>
  <si>
    <t>53 99941 7692</t>
  </si>
  <si>
    <t>Joel Pegoraro</t>
  </si>
  <si>
    <t>20.02 a 26.02</t>
  </si>
  <si>
    <t>54 98115 0968</t>
  </si>
  <si>
    <t>Ricardo Ariel Serra Moraes</t>
  </si>
  <si>
    <t>14.02 a 17.02</t>
  </si>
  <si>
    <t>598 95 353 550</t>
  </si>
  <si>
    <t>valeria plomer</t>
  </si>
  <si>
    <t>18.02 a 28.02</t>
  </si>
  <si>
    <t>54 351 235 2827</t>
  </si>
  <si>
    <t>MARIA GABRIELA RAPOSO</t>
  </si>
  <si>
    <t>21.02 a 24.02</t>
  </si>
  <si>
    <t>81 98539 7731</t>
  </si>
  <si>
    <t>Gustavo Bondavali Figueira</t>
  </si>
  <si>
    <t>05.02 a 07.02</t>
  </si>
  <si>
    <t>41 99965 3344</t>
  </si>
  <si>
    <t>Leticia Cunha Pereira</t>
  </si>
  <si>
    <t>27.02 a 06.03</t>
  </si>
  <si>
    <t>51 99577 5842</t>
  </si>
  <si>
    <t>Igor Pereira</t>
  </si>
  <si>
    <t>24.02 a 28.02</t>
  </si>
  <si>
    <t>42 99917 1172</t>
  </si>
  <si>
    <t>Manuel Lallanes</t>
  </si>
  <si>
    <t>05.02 a 12.02</t>
  </si>
  <si>
    <t>598 97 037 894</t>
  </si>
  <si>
    <t>Medrano Jimena</t>
  </si>
  <si>
    <t>20.02 a 25.02</t>
  </si>
  <si>
    <t>54 3754 41 0454</t>
  </si>
  <si>
    <t>Lourdes Isa</t>
  </si>
  <si>
    <t>09.02 a 14.02.02</t>
  </si>
  <si>
    <t>54 11 3314 7682</t>
  </si>
  <si>
    <t>Guido German Gaudioso</t>
  </si>
  <si>
    <t>07.02 a 09.02</t>
  </si>
  <si>
    <t>54 11 5873 9124</t>
  </si>
  <si>
    <t>Diego Urtiaga Sanguino</t>
  </si>
  <si>
    <t>01.02 a 02.02</t>
  </si>
  <si>
    <t>47 98455 7352</t>
  </si>
  <si>
    <t>Robson Almeida</t>
  </si>
  <si>
    <t>03.02 a 06.02</t>
  </si>
  <si>
    <t>37 99151 6161</t>
  </si>
  <si>
    <t>Barbara Lovato</t>
  </si>
  <si>
    <t>22.02 a 23.02</t>
  </si>
  <si>
    <t>16 98800 0499</t>
  </si>
  <si>
    <t>Yamila Chemes</t>
  </si>
  <si>
    <t>17.02 a 19.02</t>
  </si>
  <si>
    <t>54 3757 53 5143</t>
  </si>
  <si>
    <t>diaz gonzalo</t>
  </si>
  <si>
    <t>25.02 a 05.03</t>
  </si>
  <si>
    <t>54 370 402 2278</t>
  </si>
  <si>
    <t>MARÇO</t>
  </si>
  <si>
    <t>Ana Maria Dalcin Fornari</t>
  </si>
  <si>
    <t>51 98219 8217</t>
  </si>
  <si>
    <t>CANCELADO</t>
  </si>
  <si>
    <t>05.03 a 06.03</t>
  </si>
  <si>
    <t>49 1522 7961717</t>
  </si>
  <si>
    <t>Larissa Alves Do Amara</t>
  </si>
  <si>
    <t>49 99971 6500</t>
  </si>
  <si>
    <t>Thiago Massa</t>
  </si>
  <si>
    <t>21.03 a 24.03</t>
  </si>
  <si>
    <t>51 99890 6971</t>
  </si>
  <si>
    <t>Ana Lucia Amorim</t>
  </si>
  <si>
    <t>01.03 a 08.03</t>
  </si>
  <si>
    <t>67 99289 9999</t>
  </si>
  <si>
    <t>RODOLFO RIBEIRO</t>
  </si>
  <si>
    <t>44 99964 5389</t>
  </si>
  <si>
    <t>ARIEL PEREZ LAPRADE</t>
  </si>
  <si>
    <t>23.03 a 05.04</t>
  </si>
  <si>
    <t>54 11531643397</t>
  </si>
  <si>
    <t>Maria Eduarda Demmer</t>
  </si>
  <si>
    <t>47 99918 8126</t>
  </si>
  <si>
    <t>Rodrigo De Lima</t>
  </si>
  <si>
    <t>12 98136 4821</t>
  </si>
  <si>
    <t>Fábio Caldeira</t>
  </si>
  <si>
    <t>Leandro Prado</t>
  </si>
  <si>
    <t>07.03 a 14.03</t>
  </si>
  <si>
    <t>2.670.78</t>
  </si>
  <si>
    <t>55 67 99954 9981</t>
  </si>
  <si>
    <t>Thiago Junqueira</t>
  </si>
  <si>
    <t>28.02 a 05.03</t>
  </si>
  <si>
    <t>55 21 99657 7521</t>
  </si>
  <si>
    <t>Debach Emanuely</t>
  </si>
  <si>
    <t>05.03 A 11.03</t>
  </si>
  <si>
    <t>42 98840 9086</t>
  </si>
  <si>
    <t>Gomez Priscila</t>
  </si>
  <si>
    <t>24.03 a 31.03</t>
  </si>
  <si>
    <t>54 11 2554 4880</t>
  </si>
  <si>
    <t>ANA ISABEL CANTOR VIEIRA</t>
  </si>
  <si>
    <t>41 99925 8005</t>
  </si>
  <si>
    <t>Sinara Aline Saquetti dalpiaz</t>
  </si>
  <si>
    <t>47 98496 4020</t>
  </si>
  <si>
    <t>Leonardo Franco</t>
  </si>
  <si>
    <t>31.03 a 05.03</t>
  </si>
  <si>
    <t>31 98742 0344</t>
  </si>
  <si>
    <t>Alessandro Deon</t>
  </si>
  <si>
    <t>11.03 a 16.03</t>
  </si>
  <si>
    <t>54 99237 7117</t>
  </si>
  <si>
    <t>Rodrigo Avila Leal</t>
  </si>
  <si>
    <t>Daian Nunes da Silva</t>
  </si>
  <si>
    <t>41 99702 3779</t>
  </si>
  <si>
    <t>Tiago da Rosa Cardoso</t>
  </si>
  <si>
    <t>48 99834 2803</t>
  </si>
  <si>
    <t>Alexsandro Cabral</t>
  </si>
  <si>
    <t>47 98888 7532</t>
  </si>
  <si>
    <t>48 99159 1478</t>
  </si>
  <si>
    <t>Celina Alba</t>
  </si>
  <si>
    <t>15.02 a 21.02</t>
  </si>
  <si>
    <t>54 3496 41 8011</t>
  </si>
  <si>
    <t>vithoria martins</t>
  </si>
  <si>
    <t>48 99952 2626</t>
  </si>
  <si>
    <t>Daniel simon barrios</t>
  </si>
  <si>
    <t>17.03 a 19.03</t>
  </si>
  <si>
    <t>54 11 4025 1788</t>
  </si>
  <si>
    <t>Lia Lima</t>
  </si>
  <si>
    <t>19.03 a 23.02</t>
  </si>
  <si>
    <t>51 98233 0007</t>
  </si>
  <si>
    <t>Liamara Carravieri</t>
  </si>
  <si>
    <t>04.03 a 07.03</t>
  </si>
  <si>
    <t>13 99703 4170</t>
  </si>
  <si>
    <t>Victor Marson</t>
  </si>
  <si>
    <t>17.03 a 20.03</t>
  </si>
  <si>
    <t>55 44 99919 7964</t>
  </si>
  <si>
    <t>Andre Lee</t>
  </si>
  <si>
    <t>04.03 a 05.03</t>
  </si>
  <si>
    <t>55 11 99251 7543</t>
  </si>
  <si>
    <t>Jung pretto Mineia</t>
  </si>
  <si>
    <t>25.03 a 27.03</t>
  </si>
  <si>
    <t>48 98870 8314</t>
  </si>
  <si>
    <t>Dayanes Francine Alves</t>
  </si>
  <si>
    <t>25.03 a 28.03</t>
  </si>
  <si>
    <t>41 98705 3993</t>
  </si>
  <si>
    <t>Keila Parmo</t>
  </si>
  <si>
    <t>54 351 304 8848</t>
  </si>
  <si>
    <t>Lucas Jr Rodrigues</t>
  </si>
  <si>
    <t>28.03 a 31.03</t>
  </si>
  <si>
    <t>42 99149 1866</t>
  </si>
  <si>
    <t>Marcelo Magalhaes Gomes</t>
  </si>
  <si>
    <t>47 99738 6303</t>
  </si>
  <si>
    <t>Daan van de Kamp</t>
  </si>
  <si>
    <t>29.03 a 01.04</t>
  </si>
  <si>
    <t>31 6 41686530</t>
  </si>
  <si>
    <t>Vera Janssens Akrouch</t>
  </si>
  <si>
    <t>13.03 a 14.03</t>
  </si>
  <si>
    <t>47 99102 9160</t>
  </si>
  <si>
    <t>Sil Vana</t>
  </si>
  <si>
    <t>11.03 a 14.03</t>
  </si>
  <si>
    <t>54 2346 30 2126</t>
  </si>
  <si>
    <t>Leandro Lorca</t>
  </si>
  <si>
    <t>09.03 a 10.03</t>
  </si>
  <si>
    <t>41 98830 1528</t>
  </si>
  <si>
    <t>Portuga Oswaldo</t>
  </si>
  <si>
    <t>47 99763 3919</t>
  </si>
  <si>
    <t>Bruno Machado Teixeira</t>
  </si>
  <si>
    <t>48 99981 7977</t>
  </si>
  <si>
    <t>Alfredo Stahnke</t>
  </si>
  <si>
    <t>24.03 a 25.03</t>
  </si>
  <si>
    <t>41 99748 6642</t>
  </si>
  <si>
    <t>ABRIL</t>
  </si>
  <si>
    <t>Giovana Cerqueira Barroso</t>
  </si>
  <si>
    <t>24.04 a 28.04</t>
  </si>
  <si>
    <t>31 97310 0388</t>
  </si>
  <si>
    <t>24.04 a 28.05</t>
  </si>
  <si>
    <t>Octavio Lalia</t>
  </si>
  <si>
    <t>16.04 a 17.04</t>
  </si>
  <si>
    <t>47 99251 0110</t>
  </si>
  <si>
    <t>Elclidis Cirqueira</t>
  </si>
  <si>
    <t>12 98249 7950</t>
  </si>
  <si>
    <t>04.04 A 06.04</t>
  </si>
  <si>
    <t>55 4198223713</t>
  </si>
  <si>
    <t>Ezer Alberto Alves De Lima</t>
  </si>
  <si>
    <t>42 99135 8955</t>
  </si>
  <si>
    <t>Julieta Jimenez</t>
  </si>
  <si>
    <t>02.04 a 08.04</t>
  </si>
  <si>
    <t>54 139584533</t>
  </si>
  <si>
    <t>Fernando Diego</t>
  </si>
  <si>
    <t>21.04 a 26.04</t>
  </si>
  <si>
    <t>595 994 641140</t>
  </si>
  <si>
    <t>andre Klenk</t>
  </si>
  <si>
    <t>06.04 a 11.04</t>
  </si>
  <si>
    <t>54 11 3794 9697</t>
  </si>
  <si>
    <t>ROSAMELIA PARREIRAS ORFANO</t>
  </si>
  <si>
    <t>04.04 a 08.04</t>
  </si>
  <si>
    <t>31 98471 5951</t>
  </si>
  <si>
    <t>Lucas Caldas</t>
  </si>
  <si>
    <t>10.04 a 16.04</t>
  </si>
  <si>
    <t>49 98873 0016</t>
  </si>
  <si>
    <t>Ferreira Yasmin</t>
  </si>
  <si>
    <t>07.04 a 12.04</t>
  </si>
  <si>
    <t>54 99228 2626</t>
  </si>
  <si>
    <t>Federico Rotela</t>
  </si>
  <si>
    <t>13.04 a 18.04</t>
  </si>
  <si>
    <t>598 97 244 888</t>
  </si>
  <si>
    <t>Fabrizio Fassani</t>
  </si>
  <si>
    <t>12.04 a 18.04</t>
  </si>
  <si>
    <t>598 99 476 785</t>
  </si>
  <si>
    <t>adrian naranjo lopez</t>
  </si>
  <si>
    <t>17.04 a 20.04</t>
  </si>
  <si>
    <t>54 11 2606 0572</t>
  </si>
  <si>
    <t>Nelson Sitta Junior</t>
  </si>
  <si>
    <t>18.04 a 22.04</t>
  </si>
  <si>
    <t>41 98866 0781</t>
  </si>
  <si>
    <t>Ana Claudia Icart</t>
  </si>
  <si>
    <t>11.04 a 13.04</t>
  </si>
  <si>
    <t>47 99260 7043</t>
  </si>
  <si>
    <t>AIRBNB cancelado</t>
  </si>
  <si>
    <t>Jheniffer Bernardo</t>
  </si>
  <si>
    <t>47 99918 3753</t>
  </si>
  <si>
    <t>Maria Aguilar</t>
  </si>
  <si>
    <t>13.04 a 16.04</t>
  </si>
  <si>
    <t>598 99 307 108</t>
  </si>
  <si>
    <t>47 98898 9767</t>
  </si>
  <si>
    <t>Pablo Marçal</t>
  </si>
  <si>
    <t>41 99794 9979</t>
  </si>
  <si>
    <t>47 99265 4189</t>
  </si>
  <si>
    <t>Raquel de Alencar Araujo Motta</t>
  </si>
  <si>
    <t>55 92 98406 6939</t>
  </si>
  <si>
    <t>Marines Dal-Ri Rosset</t>
  </si>
  <si>
    <t>41 79 864 21 41</t>
  </si>
  <si>
    <t>NADIA RESENDE</t>
  </si>
  <si>
    <t>31 99605 0548</t>
  </si>
  <si>
    <t>IRACEMA Martins da Silva</t>
  </si>
  <si>
    <t>27.06 a 30.06</t>
  </si>
  <si>
    <t>41 98455 6705</t>
  </si>
  <si>
    <t>Marcelo Vieira Ribeiro</t>
  </si>
  <si>
    <t>12.06 a 17.06</t>
  </si>
  <si>
    <t>16 99176 1313</t>
  </si>
  <si>
    <t>Vinicius Viana</t>
  </si>
  <si>
    <t>21.09 a 23.09</t>
  </si>
  <si>
    <t>47 99717 8399</t>
  </si>
  <si>
    <t>Camila Lauge</t>
  </si>
  <si>
    <t>19.09 a 21.09</t>
  </si>
  <si>
    <t>44 7492 269090</t>
  </si>
  <si>
    <t>41 99734 6904</t>
  </si>
  <si>
    <t>11.09 A 14.09</t>
  </si>
  <si>
    <t>47 99993 2061</t>
  </si>
  <si>
    <t>Alessandra Simonsen</t>
  </si>
  <si>
    <t>16.10 a 20.10</t>
  </si>
  <si>
    <t>11 99616 7576</t>
  </si>
  <si>
    <t>Assumpcao Maria</t>
  </si>
  <si>
    <t>20.11 A 23.11</t>
  </si>
  <si>
    <t>43 99685 3402</t>
  </si>
  <si>
    <t>11.12 A 14.12</t>
  </si>
  <si>
    <t>21 99993 8991</t>
  </si>
  <si>
    <t>METALLO</t>
  </si>
  <si>
    <t>5.483.52</t>
  </si>
  <si>
    <t>54 381 501 1149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</si>
</sst>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.mm"/>
    <numFmt numFmtId="166" formatCode="d.m"/>
    <numFmt numFmtId="167" formatCode="dd.mm.yy"/>
    <numFmt numFmtId="168" formatCode="dd.mm.yyyy"/>
    <numFmt numFmtId="169" formatCode="d.m.yy"/>
  </numFmts>
  <fonts count="76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4.0"/>
      <color theme="1"/>
      <name val="Arial"/>
    </font>
    <font/>
    <font>
      <b/>
      <sz val="11.0"/>
      <color theme="1"/>
      <name val="Arial"/>
    </font>
    <font>
      <sz val="11.0"/>
      <color rgb="FFFF0000"/>
      <name val="Aptos Narrow"/>
    </font>
    <font>
      <b/>
      <sz val="11.0"/>
      <color rgb="FFFF0000"/>
      <name val="Aptos Narrow"/>
    </font>
    <font>
      <sz val="11.0"/>
      <color rgb="FFFF0000"/>
      <name val="Arial"/>
    </font>
    <font>
      <sz val="11.0"/>
      <color theme="4"/>
      <name val="Arial"/>
    </font>
    <font>
      <b/>
      <sz val="11.0"/>
      <color theme="4"/>
      <name val="Arial"/>
    </font>
    <font>
      <sz val="11.0"/>
      <color theme="4"/>
      <name val="Aptos Narrow"/>
    </font>
    <font>
      <b/>
      <sz val="11.0"/>
      <color rgb="FFFF0000"/>
      <name val="Arial"/>
    </font>
    <font>
      <sz val="9.0"/>
      <color theme="1"/>
      <name val="Arial"/>
    </font>
    <font>
      <color theme="9"/>
      <name val="Aptos Narrow"/>
      <scheme val="minor"/>
    </font>
    <font>
      <b/>
      <sz val="11.0"/>
      <color rgb="FF156082"/>
      <name val="Arial"/>
    </font>
    <font>
      <sz val="11.0"/>
      <color rgb="FF156082"/>
      <name val="Arial"/>
    </font>
    <font>
      <color rgb="FFFF0000"/>
      <name val="Arial"/>
    </font>
    <font>
      <color theme="4"/>
      <name val="Arial"/>
    </font>
    <font>
      <color theme="4"/>
      <name val="Aptos Narrow"/>
      <scheme val="minor"/>
    </font>
    <font>
      <color rgb="FF1C4587"/>
      <name val="Arial"/>
    </font>
    <font>
      <b/>
      <sz val="11.0"/>
      <color rgb="FF1C4587"/>
      <name val="Arial"/>
    </font>
    <font>
      <sz val="11.0"/>
      <color rgb="FF1C4587"/>
      <name val="Arial"/>
    </font>
    <font>
      <color rgb="FF156082"/>
      <name val="Aptos Narrow"/>
      <scheme val="minor"/>
    </font>
    <font>
      <color rgb="FF156082"/>
      <name val="Arial"/>
    </font>
    <font>
      <color rgb="FFFF0000"/>
      <name val="Aptos Narrow"/>
      <scheme val="minor"/>
    </font>
    <font>
      <b/>
      <sz val="11.0"/>
      <color theme="4"/>
      <name val="Aptos Narrow"/>
    </font>
    <font>
      <color theme="9"/>
      <name val="Arial"/>
    </font>
    <font>
      <sz val="11.0"/>
      <color theme="4"/>
      <name val="Inter"/>
    </font>
    <font>
      <sz val="11.0"/>
      <color theme="9"/>
      <name val="Inter"/>
    </font>
    <font>
      <sz val="11.0"/>
      <color theme="9"/>
      <name val="Aptos Narrow"/>
    </font>
    <font>
      <b/>
      <color theme="1"/>
      <name val="Arial"/>
    </font>
    <font>
      <b/>
      <color rgb="FF0000FF"/>
      <name val="Arial"/>
    </font>
    <font>
      <b/>
      <color rgb="FF4EA72E"/>
      <name val="Arial"/>
    </font>
    <font>
      <sz val="11.0"/>
      <color rgb="FF4EA72E"/>
      <name val="Arial"/>
    </font>
    <font>
      <b/>
      <color theme="1"/>
      <name val="Aptos Narrow"/>
      <scheme val="minor"/>
    </font>
    <font>
      <b/>
      <color rgb="FF000000"/>
      <name val="Aptos Narrow"/>
      <scheme val="minor"/>
    </font>
    <font>
      <sz val="12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000000"/>
      <name val="&quot;system-ui&quot;"/>
    </font>
    <font>
      <sz val="12.0"/>
      <color rgb="FFFF0000"/>
      <name val="Arial"/>
    </font>
    <font>
      <sz val="12.0"/>
      <color rgb="FFFF0000"/>
      <name val="&quot;system-ui&quot;"/>
    </font>
    <font>
      <sz val="12.0"/>
      <color rgb="FF333333"/>
      <name val="Roboto"/>
    </font>
    <font>
      <sz val="12.0"/>
      <color rgb="FFFF0000"/>
      <name val="Roboto"/>
    </font>
    <font>
      <sz val="12.0"/>
      <color rgb="FF222222"/>
      <name val="Arial"/>
    </font>
    <font>
      <sz val="12.0"/>
      <color rgb="FFFF0000"/>
      <name val="Aptos Narrow"/>
      <scheme val="minor"/>
    </font>
    <font>
      <sz val="12.0"/>
      <color rgb="FF000000"/>
      <name val="Roboto"/>
    </font>
    <font>
      <sz val="12.0"/>
      <color rgb="FF000000"/>
      <name val="Aptos Narrow"/>
      <scheme val="minor"/>
    </font>
    <font>
      <b/>
      <sz val="12.0"/>
      <color theme="1"/>
      <name val="Aptos Narrow"/>
      <scheme val="minor"/>
    </font>
    <font>
      <b/>
      <sz val="12.0"/>
      <color rgb="FF000000"/>
      <name val="Aptos Narrow"/>
      <scheme val="minor"/>
    </font>
    <font>
      <b/>
      <sz val="19.0"/>
      <color rgb="FF000000"/>
      <name val="Arial"/>
    </font>
    <font>
      <b/>
      <color rgb="FF4A86E8"/>
      <name val="Arial"/>
    </font>
    <font>
      <b/>
      <color rgb="FF000000"/>
      <name val="Arial"/>
    </font>
    <font>
      <color rgb="FF000000"/>
      <name val="Arial"/>
    </font>
    <font>
      <b/>
      <sz val="17.0"/>
      <color theme="1"/>
      <name val="Arial"/>
    </font>
    <font>
      <b/>
      <color theme="7"/>
      <name val="Arial"/>
    </font>
    <font>
      <b/>
      <color rgb="FF0F9ED5"/>
      <name val="Arial"/>
    </font>
    <font>
      <b/>
      <sz val="11.0"/>
      <color rgb="FF0F9ED5"/>
      <name val="Arial"/>
    </font>
    <font>
      <sz val="11.0"/>
      <color rgb="FF2A3042"/>
      <name val="Inter"/>
    </font>
    <font>
      <b/>
      <sz val="18.0"/>
      <color theme="1"/>
      <name val="Aptos Narrow"/>
    </font>
    <font>
      <sz val="11.0"/>
      <color theme="1"/>
      <name val="Arial"/>
    </font>
    <font>
      <color rgb="FF1C4587"/>
      <name val="Aptos Narrow"/>
      <scheme val="minor"/>
    </font>
    <font>
      <u/>
      <color rgb="FFFF0000"/>
    </font>
    <font>
      <sz val="9.0"/>
      <color rgb="FF333333"/>
      <name val="Arial"/>
    </font>
    <font>
      <sz val="9.0"/>
      <color theme="4"/>
      <name val="Arial"/>
    </font>
    <font>
      <u/>
      <sz val="11.0"/>
      <color theme="4"/>
      <name val="Aptos Narrow"/>
    </font>
    <font>
      <sz val="9.0"/>
      <color rgb="FFFF0000"/>
      <name val="Arial"/>
    </font>
    <font>
      <sz val="9.0"/>
      <color theme="1"/>
      <name val="Aptos Narrow"/>
    </font>
    <font>
      <u/>
      <sz val="11.0"/>
      <color rgb="FFFF0000"/>
      <name val="Aptos Narrow"/>
    </font>
    <font>
      <u/>
      <sz val="9.0"/>
      <color theme="4"/>
      <name val="Roboto"/>
    </font>
    <font>
      <u/>
      <sz val="11.0"/>
      <color theme="10"/>
      <name val="Aptos Narrow"/>
    </font>
    <font>
      <color rgb="FF222222"/>
      <name val="Arial"/>
    </font>
  </fonts>
  <fills count="18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9FC5E8"/>
        <bgColor rgb="FF9FC5E8"/>
      </patternFill>
    </fill>
    <fill>
      <patternFill patternType="solid">
        <fgColor rgb="FF8ED873"/>
        <bgColor rgb="FF8ED87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0" fontId="2" numFmtId="0" xfId="0" applyBorder="1" applyFont="1"/>
    <xf borderId="1" fillId="0" fontId="7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 readingOrder="0"/>
    </xf>
    <xf borderId="1" fillId="0" fontId="8" numFmtId="0" xfId="0" applyBorder="1" applyFont="1"/>
    <xf borderId="1" fillId="0" fontId="8" numFmtId="164" xfId="0" applyBorder="1" applyFont="1" applyNumberFormat="1"/>
    <xf borderId="1" fillId="0" fontId="9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center"/>
    </xf>
    <xf borderId="1" fillId="0" fontId="10" numFmtId="0" xfId="0" applyAlignment="1" applyBorder="1" applyFont="1">
      <alignment readingOrder="0"/>
    </xf>
    <xf borderId="1" fillId="3" fontId="11" numFmtId="0" xfId="0" applyAlignment="1" applyBorder="1" applyFill="1" applyFont="1">
      <alignment readingOrder="0"/>
    </xf>
    <xf borderId="1" fillId="3" fontId="11" numFmtId="164" xfId="0" applyAlignment="1" applyBorder="1" applyFont="1" applyNumberFormat="1">
      <alignment readingOrder="0"/>
    </xf>
    <xf borderId="1" fillId="3" fontId="12" numFmtId="164" xfId="0" applyAlignment="1" applyBorder="1" applyFont="1" applyNumberFormat="1">
      <alignment horizontal="right" readingOrder="0"/>
    </xf>
    <xf borderId="1" fillId="3" fontId="11" numFmtId="165" xfId="0" applyAlignment="1" applyBorder="1" applyFont="1" applyNumberFormat="1">
      <alignment horizontal="center" readingOrder="0"/>
    </xf>
    <xf borderId="1" fillId="3" fontId="13" numFmtId="0" xfId="0" applyBorder="1" applyFont="1"/>
    <xf borderId="1" fillId="0" fontId="10" numFmtId="164" xfId="0" applyAlignment="1" applyBorder="1" applyFont="1" applyNumberFormat="1">
      <alignment readingOrder="0"/>
    </xf>
    <xf borderId="1" fillId="0" fontId="14" numFmtId="164" xfId="0" applyAlignment="1" applyBorder="1" applyFont="1" applyNumberFormat="1">
      <alignment horizontal="center" readingOrder="0"/>
    </xf>
    <xf borderId="1" fillId="0" fontId="10" numFmtId="165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readingOrder="0"/>
    </xf>
    <xf borderId="1" fillId="0" fontId="11" numFmtId="164" xfId="0" applyAlignment="1" applyBorder="1" applyFont="1" applyNumberFormat="1">
      <alignment readingOrder="0"/>
    </xf>
    <xf borderId="1" fillId="0" fontId="12" numFmtId="164" xfId="0" applyAlignment="1" applyBorder="1" applyFont="1" applyNumberFormat="1">
      <alignment horizontal="right" readingOrder="0"/>
    </xf>
    <xf borderId="1" fillId="0" fontId="11" numFmtId="165" xfId="0" applyAlignment="1" applyBorder="1" applyFont="1" applyNumberFormat="1">
      <alignment horizontal="center" readingOrder="0"/>
    </xf>
    <xf borderId="1" fillId="0" fontId="4" numFmtId="0" xfId="0" applyBorder="1" applyFont="1"/>
    <xf borderId="0" fillId="4" fontId="2" numFmtId="0" xfId="0" applyFill="1" applyFont="1"/>
    <xf borderId="0" fillId="0" fontId="15" numFmtId="0" xfId="0" applyAlignment="1" applyFont="1">
      <alignment readingOrder="0"/>
    </xf>
    <xf borderId="0" fillId="5" fontId="16" numFmtId="0" xfId="0" applyFill="1" applyFont="1"/>
    <xf borderId="1" fillId="0" fontId="17" numFmtId="164" xfId="0" applyAlignment="1" applyBorder="1" applyFont="1" applyNumberFormat="1">
      <alignment horizontal="right" readingOrder="0"/>
    </xf>
    <xf borderId="0" fillId="6" fontId="2" numFmtId="0" xfId="0" applyFill="1" applyFont="1"/>
    <xf borderId="1" fillId="0" fontId="13" numFmtId="0" xfId="0" applyBorder="1" applyFont="1"/>
    <xf borderId="0" fillId="7" fontId="2" numFmtId="0" xfId="0" applyFill="1" applyFont="1"/>
    <xf borderId="1" fillId="0" fontId="13" numFmtId="0" xfId="0" applyAlignment="1" applyBorder="1" applyFont="1">
      <alignment horizontal="center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" fillId="0" fontId="19" numFmtId="164" xfId="0" applyAlignment="1" applyBorder="1" applyFont="1" applyNumberFormat="1">
      <alignment readingOrder="0"/>
    </xf>
    <xf borderId="1" fillId="0" fontId="9" numFmtId="164" xfId="0" applyAlignment="1" applyBorder="1" applyFont="1" applyNumberFormat="1">
      <alignment horizontal="center"/>
    </xf>
    <xf borderId="1" fillId="0" fontId="20" numFmtId="0" xfId="0" applyAlignment="1" applyBorder="1" applyFont="1">
      <alignment readingOrder="0"/>
    </xf>
    <xf borderId="1" fillId="0" fontId="20" numFmtId="164" xfId="0" applyAlignment="1" applyBorder="1" applyFont="1" applyNumberFormat="1">
      <alignment readingOrder="0"/>
    </xf>
    <xf borderId="1" fillId="0" fontId="12" numFmtId="164" xfId="0" applyAlignment="1" applyBorder="1" applyFont="1" applyNumberFormat="1">
      <alignment horizontal="center" readingOrder="0"/>
    </xf>
    <xf borderId="1" fillId="0" fontId="21" numFmtId="0" xfId="0" applyBorder="1" applyFont="1"/>
    <xf borderId="1" fillId="0" fontId="22" numFmtId="0" xfId="0" applyAlignment="1" applyBorder="1" applyFont="1">
      <alignment readingOrder="0"/>
    </xf>
    <xf borderId="1" fillId="0" fontId="22" numFmtId="164" xfId="0" applyAlignment="1" applyBorder="1" applyFont="1" applyNumberFormat="1">
      <alignment readingOrder="0"/>
    </xf>
    <xf borderId="1" fillId="0" fontId="23" numFmtId="164" xfId="0" applyAlignment="1" applyBorder="1" applyFont="1" applyNumberFormat="1">
      <alignment horizontal="center" readingOrder="0"/>
    </xf>
    <xf borderId="1" fillId="0" fontId="24" numFmtId="165" xfId="0" applyAlignment="1" applyBorder="1" applyFont="1" applyNumberFormat="1">
      <alignment horizontal="center" readingOrder="0"/>
    </xf>
    <xf borderId="1" fillId="0" fontId="25" numFmtId="0" xfId="0" applyBorder="1" applyFont="1"/>
    <xf borderId="1" fillId="0" fontId="17" numFmtId="164" xfId="0" applyAlignment="1" applyBorder="1" applyFont="1" applyNumberFormat="1">
      <alignment horizontal="center" readingOrder="0"/>
    </xf>
    <xf borderId="0" fillId="0" fontId="20" numFmtId="0" xfId="0" applyAlignment="1" applyFont="1">
      <alignment readingOrder="0"/>
    </xf>
    <xf borderId="0" fillId="0" fontId="21" numFmtId="0" xfId="0" applyFont="1"/>
    <xf borderId="1" fillId="0" fontId="26" numFmtId="164" xfId="0" applyAlignment="1" applyBorder="1" applyFont="1" applyNumberFormat="1">
      <alignment readingOrder="0"/>
    </xf>
    <xf borderId="1" fillId="0" fontId="27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1" fillId="0" fontId="16" numFmtId="0" xfId="0" applyBorder="1" applyFont="1"/>
    <xf borderId="1" fillId="0" fontId="26" numFmtId="0" xfId="0" applyAlignment="1" applyBorder="1" applyFont="1">
      <alignment readingOrder="0"/>
    </xf>
    <xf borderId="1" fillId="3" fontId="20" numFmtId="0" xfId="0" applyAlignment="1" applyBorder="1" applyFont="1">
      <alignment readingOrder="0"/>
    </xf>
    <xf borderId="1" fillId="3" fontId="20" numFmtId="164" xfId="0" applyAlignment="1" applyBorder="1" applyFont="1" applyNumberFormat="1">
      <alignment readingOrder="0"/>
    </xf>
    <xf borderId="1" fillId="3" fontId="12" numFmtId="164" xfId="0" applyAlignment="1" applyBorder="1" applyFont="1" applyNumberFormat="1">
      <alignment horizontal="center" readingOrder="0"/>
    </xf>
    <xf borderId="0" fillId="3" fontId="2" numFmtId="0" xfId="0" applyFont="1"/>
    <xf borderId="1" fillId="3" fontId="17" numFmtId="164" xfId="0" applyAlignment="1" applyBorder="1" applyFont="1" applyNumberFormat="1">
      <alignment horizontal="center" readingOrder="0"/>
    </xf>
    <xf borderId="1" fillId="3" fontId="21" numFmtId="0" xfId="0" applyBorder="1" applyFont="1"/>
    <xf borderId="1" fillId="3" fontId="20" numFmtId="0" xfId="0" applyAlignment="1" applyBorder="1" applyFont="1">
      <alignment readingOrder="0"/>
    </xf>
    <xf borderId="1" fillId="3" fontId="19" numFmtId="0" xfId="0" applyAlignment="1" applyBorder="1" applyFont="1">
      <alignment readingOrder="0"/>
    </xf>
    <xf borderId="1" fillId="0" fontId="10" numFmtId="166" xfId="0" applyAlignment="1" applyBorder="1" applyFont="1" applyNumberFormat="1">
      <alignment horizontal="center" readingOrder="0"/>
    </xf>
    <xf borderId="1" fillId="0" fontId="27" numFmtId="0" xfId="0" applyBorder="1" applyFont="1"/>
    <xf borderId="1" fillId="0" fontId="11" numFmtId="166" xfId="0" applyAlignment="1" applyBorder="1" applyFont="1" applyNumberFormat="1">
      <alignment horizontal="center" readingOrder="0"/>
    </xf>
    <xf borderId="0" fillId="3" fontId="20" numFmtId="0" xfId="0" applyAlignment="1" applyFont="1">
      <alignment readingOrder="0"/>
    </xf>
    <xf borderId="1" fillId="0" fontId="21" numFmtId="164" xfId="0" applyBorder="1" applyFont="1" applyNumberFormat="1"/>
    <xf borderId="1" fillId="0" fontId="28" numFmtId="164" xfId="0" applyAlignment="1" applyBorder="1" applyFont="1" applyNumberFormat="1">
      <alignment horizontal="center"/>
    </xf>
    <xf borderId="1" fillId="0" fontId="29" numFmtId="0" xfId="0" applyAlignment="1" applyBorder="1" applyFont="1">
      <alignment readingOrder="0"/>
    </xf>
    <xf borderId="1" fillId="0" fontId="20" numFmtId="4" xfId="0" applyAlignment="1" applyBorder="1" applyFont="1" applyNumberFormat="1">
      <alignment readingOrder="0"/>
    </xf>
    <xf borderId="1" fillId="3" fontId="3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2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3" fontId="31" numFmtId="0" xfId="0" applyAlignment="1" applyBorder="1" applyFont="1">
      <alignment readingOrder="0"/>
    </xf>
    <xf borderId="1" fillId="0" fontId="32" numFmtId="0" xfId="0" applyAlignment="1" applyBorder="1" applyFont="1">
      <alignment horizontal="center"/>
    </xf>
    <xf borderId="0" fillId="0" fontId="1" numFmtId="3" xfId="0" applyAlignment="1" applyFont="1" applyNumberFormat="1">
      <alignment readingOrder="0"/>
    </xf>
    <xf borderId="0" fillId="0" fontId="27" numFmtId="0" xfId="0" applyFont="1"/>
    <xf borderId="1" fillId="0" fontId="20" numFmtId="167" xfId="0" applyAlignment="1" applyBorder="1" applyFont="1" applyNumberFormat="1">
      <alignment readingOrder="0"/>
    </xf>
    <xf borderId="1" fillId="0" fontId="19" numFmtId="167" xfId="0" applyAlignment="1" applyBorder="1" applyFont="1" applyNumberFormat="1">
      <alignment readingOrder="0"/>
    </xf>
    <xf borderId="1" fillId="0" fontId="33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0" fontId="19" numFmtId="0" xfId="0" applyAlignment="1" applyFont="1">
      <alignment readingOrder="0"/>
    </xf>
    <xf borderId="1" fillId="0" fontId="3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0" fillId="0" fontId="2" numFmtId="0" xfId="0" applyAlignment="1" applyFont="1">
      <alignment horizontal="right"/>
    </xf>
    <xf borderId="1" fillId="0" fontId="2" numFmtId="164" xfId="0" applyBorder="1" applyFont="1" applyNumberFormat="1"/>
    <xf borderId="1" fillId="0" fontId="17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readingOrder="0"/>
    </xf>
    <xf borderId="1" fillId="0" fontId="17" numFmtId="164" xfId="0" applyAlignment="1" applyBorder="1" applyFont="1" applyNumberFormat="1">
      <alignment horizontal="center" readingOrder="0" vertical="bottom"/>
    </xf>
    <xf borderId="1" fillId="0" fontId="34" numFmtId="164" xfId="0" applyAlignment="1" applyBorder="1" applyFont="1" applyNumberFormat="1">
      <alignment horizontal="center" readingOrder="0"/>
    </xf>
    <xf borderId="1" fillId="0" fontId="19" numFmtId="164" xfId="0" applyAlignment="1" applyBorder="1" applyFont="1" applyNumberFormat="1">
      <alignment horizontal="center" readingOrder="0"/>
    </xf>
    <xf borderId="1" fillId="0" fontId="35" numFmtId="164" xfId="0" applyAlignment="1" applyBorder="1" applyFont="1" applyNumberFormat="1">
      <alignment readingOrder="0"/>
    </xf>
    <xf borderId="0" fillId="0" fontId="19" numFmtId="164" xfId="0" applyAlignment="1" applyFont="1" applyNumberFormat="1">
      <alignment readingOrder="0"/>
    </xf>
    <xf borderId="0" fillId="0" fontId="29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0" numFmtId="164" xfId="0" applyAlignment="1" applyFont="1" applyNumberFormat="1">
      <alignment readingOrder="0"/>
    </xf>
    <xf borderId="0" fillId="0" fontId="36" numFmtId="164" xfId="0" applyAlignment="1" applyFont="1" applyNumberFormat="1">
      <alignment horizontal="right" vertical="bottom"/>
    </xf>
    <xf borderId="0" fillId="0" fontId="33" numFmtId="0" xfId="0" applyAlignment="1" applyFont="1">
      <alignment horizontal="right" readingOrder="0"/>
    </xf>
    <xf borderId="1" fillId="3" fontId="20" numFmtId="167" xfId="0" applyAlignment="1" applyBorder="1" applyFont="1" applyNumberFormat="1">
      <alignment readingOrder="0"/>
    </xf>
    <xf borderId="0" fillId="0" fontId="33" numFmtId="0" xfId="0" applyAlignment="1" applyFont="1">
      <alignment horizontal="center" readingOrder="0"/>
    </xf>
    <xf borderId="0" fillId="0" fontId="17" numFmtId="164" xfId="0" applyAlignment="1" applyFont="1" applyNumberForma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37" numFmtId="0" xfId="0" applyAlignment="1" applyFont="1">
      <alignment horizontal="center"/>
    </xf>
    <xf borderId="1" fillId="0" fontId="38" numFmtId="164" xfId="0" applyBorder="1" applyFont="1" applyNumberFormat="1"/>
    <xf borderId="1" fillId="0" fontId="19" numFmtId="0" xfId="0" applyAlignment="1" applyBorder="1" applyFont="1">
      <alignment horizontal="right" readingOrder="0"/>
    </xf>
    <xf borderId="1" fillId="0" fontId="35" numFmtId="4" xfId="0" applyAlignment="1" applyBorder="1" applyFont="1" applyNumberFormat="1">
      <alignment readingOrder="0"/>
    </xf>
    <xf borderId="1" fillId="0" fontId="20" numFmtId="168" xfId="0" applyAlignment="1" applyBorder="1" applyFont="1" applyNumberFormat="1">
      <alignment readingOrder="0"/>
    </xf>
    <xf borderId="1" fillId="0" fontId="33" numFmtId="0" xfId="0" applyAlignment="1" applyBorder="1" applyFont="1">
      <alignment horizontal="right" readingOrder="0"/>
    </xf>
    <xf borderId="1" fillId="0" fontId="29" numFmtId="164" xfId="0" applyAlignment="1" applyBorder="1" applyFont="1" applyNumberFormat="1">
      <alignment readingOrder="0"/>
    </xf>
    <xf borderId="0" fillId="0" fontId="1" numFmtId="4" xfId="0" applyAlignment="1" applyFont="1" applyNumberFormat="1">
      <alignment horizontal="right" readingOrder="0"/>
    </xf>
    <xf borderId="0" fillId="0" fontId="19" numFmtId="0" xfId="0" applyAlignment="1" applyFont="1">
      <alignment horizontal="right" readingOrder="0"/>
    </xf>
    <xf borderId="0" fillId="0" fontId="35" numFmtId="3" xfId="0" applyAlignment="1" applyFont="1" applyNumberFormat="1">
      <alignment horizontal="right" readingOrder="0"/>
    </xf>
    <xf borderId="1" fillId="0" fontId="34" numFmtId="0" xfId="0" applyAlignment="1" applyBorder="1" applyFont="1">
      <alignment readingOrder="0"/>
    </xf>
    <xf borderId="0" fillId="0" fontId="39" numFmtId="0" xfId="0" applyFont="1"/>
    <xf borderId="0" fillId="0" fontId="39" numFmtId="164" xfId="0" applyFont="1" applyNumberFormat="1"/>
    <xf borderId="2" fillId="8" fontId="40" numFmtId="0" xfId="0" applyAlignment="1" applyBorder="1" applyFill="1" applyFont="1">
      <alignment horizontal="center" readingOrder="0"/>
    </xf>
    <xf borderId="1" fillId="8" fontId="40" numFmtId="0" xfId="0" applyAlignment="1" applyBorder="1" applyFont="1">
      <alignment horizontal="center" readingOrder="0"/>
    </xf>
    <xf borderId="1" fillId="8" fontId="40" numFmtId="164" xfId="0" applyAlignment="1" applyBorder="1" applyFont="1" applyNumberFormat="1">
      <alignment horizontal="center" readingOrder="0"/>
    </xf>
    <xf borderId="1" fillId="8" fontId="40" numFmtId="9" xfId="0" applyAlignment="1" applyBorder="1" applyFont="1" applyNumberFormat="1">
      <alignment horizontal="center" readingOrder="0"/>
    </xf>
    <xf borderId="1" fillId="8" fontId="41" numFmtId="0" xfId="0" applyAlignment="1" applyBorder="1" applyFont="1">
      <alignment horizontal="center" readingOrder="0"/>
    </xf>
    <xf borderId="1" fillId="9" fontId="42" numFmtId="167" xfId="0" applyAlignment="1" applyBorder="1" applyFill="1" applyFont="1" applyNumberFormat="1">
      <alignment readingOrder="0"/>
    </xf>
    <xf borderId="1" fillId="9" fontId="43" numFmtId="0" xfId="0" applyAlignment="1" applyBorder="1" applyFont="1">
      <alignment readingOrder="0"/>
    </xf>
    <xf borderId="1" fillId="9" fontId="41" numFmtId="0" xfId="0" applyAlignment="1" applyBorder="1" applyFont="1">
      <alignment readingOrder="0"/>
    </xf>
    <xf borderId="1" fillId="9" fontId="42" numFmtId="4" xfId="0" applyAlignment="1" applyBorder="1" applyFont="1" applyNumberFormat="1">
      <alignment readingOrder="0"/>
    </xf>
    <xf borderId="1" fillId="9" fontId="43" numFmtId="164" xfId="0" applyAlignment="1" applyBorder="1" applyFont="1" applyNumberFormat="1">
      <alignment readingOrder="0"/>
    </xf>
    <xf borderId="1" fillId="9" fontId="41" numFmtId="164" xfId="0" applyAlignment="1" applyBorder="1" applyFont="1" applyNumberFormat="1">
      <alignment readingOrder="0"/>
    </xf>
    <xf borderId="1" fillId="8" fontId="41" numFmtId="164" xfId="0" applyAlignment="1" applyBorder="1" applyFont="1" applyNumberFormat="1">
      <alignment readingOrder="0"/>
    </xf>
    <xf borderId="1" fillId="9" fontId="39" numFmtId="0" xfId="0" applyBorder="1" applyFont="1"/>
    <xf borderId="1" fillId="9" fontId="41" numFmtId="167" xfId="0" applyAlignment="1" applyBorder="1" applyFont="1" applyNumberFormat="1">
      <alignment readingOrder="0"/>
    </xf>
    <xf borderId="1" fillId="3" fontId="44" numFmtId="167" xfId="0" applyAlignment="1" applyBorder="1" applyFont="1" applyNumberFormat="1">
      <alignment readingOrder="0"/>
    </xf>
    <xf borderId="1" fillId="3" fontId="45" numFmtId="0" xfId="0" applyAlignment="1" applyBorder="1" applyFont="1">
      <alignment readingOrder="0"/>
    </xf>
    <xf borderId="1" fillId="3" fontId="44" numFmtId="0" xfId="0" applyAlignment="1" applyBorder="1" applyFont="1">
      <alignment readingOrder="0"/>
    </xf>
    <xf borderId="1" fillId="3" fontId="44" numFmtId="164" xfId="0" applyAlignment="1" applyBorder="1" applyFont="1" applyNumberFormat="1">
      <alignment readingOrder="0"/>
    </xf>
    <xf borderId="0" fillId="0" fontId="41" numFmtId="0" xfId="0" applyAlignment="1" applyFont="1">
      <alignment readingOrder="0"/>
    </xf>
    <xf borderId="1" fillId="9" fontId="46" numFmtId="0" xfId="0" applyAlignment="1" applyBorder="1" applyFont="1">
      <alignment horizontal="right" readingOrder="0"/>
    </xf>
    <xf borderId="1" fillId="0" fontId="44" numFmtId="167" xfId="0" applyAlignment="1" applyBorder="1" applyFont="1" applyNumberFormat="1">
      <alignment readingOrder="0"/>
    </xf>
    <xf borderId="1" fillId="10" fontId="47" numFmtId="0" xfId="0" applyAlignment="1" applyBorder="1" applyFill="1" applyFont="1">
      <alignment horizontal="right" readingOrder="0"/>
    </xf>
    <xf borderId="1" fillId="3" fontId="44" numFmtId="0" xfId="0" applyAlignment="1" applyBorder="1" applyFont="1">
      <alignment readingOrder="0"/>
    </xf>
    <xf borderId="1" fillId="0" fontId="44" numFmtId="0" xfId="0" applyAlignment="1" applyBorder="1" applyFont="1">
      <alignment readingOrder="0"/>
    </xf>
    <xf borderId="1" fillId="0" fontId="44" numFmtId="164" xfId="0" applyAlignment="1" applyBorder="1" applyFont="1" applyNumberFormat="1">
      <alignment readingOrder="0"/>
    </xf>
    <xf borderId="0" fillId="9" fontId="46" numFmtId="0" xfId="0" applyAlignment="1" applyFont="1">
      <alignment horizontal="right" readingOrder="0"/>
    </xf>
    <xf borderId="0" fillId="9" fontId="48" numFmtId="0" xfId="0" applyAlignment="1" applyFont="1">
      <alignment readingOrder="0"/>
    </xf>
    <xf borderId="1" fillId="9" fontId="42" numFmtId="164" xfId="0" applyAlignment="1" applyBorder="1" applyFont="1" applyNumberFormat="1">
      <alignment readingOrder="0"/>
    </xf>
    <xf borderId="1" fillId="3" fontId="47" numFmtId="0" xfId="0" applyAlignment="1" applyBorder="1" applyFont="1">
      <alignment horizontal="right" readingOrder="0"/>
    </xf>
    <xf borderId="1" fillId="9" fontId="48" numFmtId="0" xfId="0" applyAlignment="1" applyBorder="1" applyFont="1">
      <alignment readingOrder="0"/>
    </xf>
    <xf borderId="0" fillId="3" fontId="44" numFmtId="0" xfId="0" applyAlignment="1" applyFont="1">
      <alignment readingOrder="0"/>
    </xf>
    <xf borderId="0" fillId="3" fontId="49" numFmtId="0" xfId="0" applyFont="1"/>
    <xf borderId="1" fillId="0" fontId="41" numFmtId="167" xfId="0" applyAlignment="1" applyBorder="1" applyFont="1" applyNumberFormat="1">
      <alignment readingOrder="0"/>
    </xf>
    <xf borderId="1" fillId="10" fontId="46" numFmtId="0" xfId="0" applyAlignment="1" applyBorder="1" applyFont="1">
      <alignment horizontal="right" readingOrder="0"/>
    </xf>
    <xf borderId="1" fillId="0" fontId="41" numFmtId="0" xfId="0" applyAlignment="1" applyBorder="1" applyFont="1">
      <alignment readingOrder="0"/>
    </xf>
    <xf borderId="1" fillId="0" fontId="41" numFmtId="164" xfId="0" applyAlignment="1" applyBorder="1" applyFont="1" applyNumberFormat="1">
      <alignment readingOrder="0"/>
    </xf>
    <xf borderId="1" fillId="3" fontId="41" numFmtId="164" xfId="0" applyAlignment="1" applyBorder="1" applyFont="1" applyNumberFormat="1">
      <alignment readingOrder="0"/>
    </xf>
    <xf borderId="1" fillId="0" fontId="39" numFmtId="0" xfId="0" applyBorder="1" applyFont="1"/>
    <xf borderId="0" fillId="0" fontId="41" numFmtId="165" xfId="0" applyAlignment="1" applyFont="1" applyNumberFormat="1">
      <alignment readingOrder="0"/>
    </xf>
    <xf borderId="1" fillId="8" fontId="42" numFmtId="167" xfId="0" applyAlignment="1" applyBorder="1" applyFont="1" applyNumberFormat="1">
      <alignment readingOrder="0"/>
    </xf>
    <xf borderId="1" fillId="8" fontId="50" numFmtId="0" xfId="0" applyAlignment="1" applyBorder="1" applyFont="1">
      <alignment horizontal="right" readingOrder="0"/>
    </xf>
    <xf borderId="1" fillId="8" fontId="42" numFmtId="0" xfId="0" applyAlignment="1" applyBorder="1" applyFont="1">
      <alignment readingOrder="0"/>
    </xf>
    <xf borderId="1" fillId="8" fontId="42" numFmtId="0" xfId="0" applyAlignment="1" applyBorder="1" applyFont="1">
      <alignment readingOrder="0"/>
    </xf>
    <xf borderId="1" fillId="8" fontId="42" numFmtId="164" xfId="0" applyAlignment="1" applyBorder="1" applyFont="1" applyNumberFormat="1">
      <alignment readingOrder="0"/>
    </xf>
    <xf borderId="1" fillId="8" fontId="41" numFmtId="0" xfId="0" applyAlignment="1" applyBorder="1" applyFont="1">
      <alignment readingOrder="0"/>
    </xf>
    <xf borderId="1" fillId="3" fontId="44" numFmtId="169" xfId="0" applyAlignment="1" applyBorder="1" applyFont="1" applyNumberFormat="1">
      <alignment readingOrder="0"/>
    </xf>
    <xf borderId="1" fillId="9" fontId="42" numFmtId="169" xfId="0" applyAlignment="1" applyBorder="1" applyFont="1" applyNumberFormat="1">
      <alignment readingOrder="0"/>
    </xf>
    <xf borderId="1" fillId="9" fontId="50" numFmtId="0" xfId="0" applyAlignment="1" applyBorder="1" applyFont="1">
      <alignment horizontal="right" readingOrder="0"/>
    </xf>
    <xf borderId="1" fillId="9" fontId="42" numFmtId="0" xfId="0" applyAlignment="1" applyBorder="1" applyFont="1">
      <alignment readingOrder="0"/>
    </xf>
    <xf borderId="0" fillId="0" fontId="51" numFmtId="0" xfId="0" applyFont="1"/>
    <xf borderId="1" fillId="0" fontId="44" numFmtId="169" xfId="0" applyAlignment="1" applyBorder="1" applyFont="1" applyNumberFormat="1">
      <alignment readingOrder="0"/>
    </xf>
    <xf borderId="1" fillId="9" fontId="41" numFmtId="169" xfId="0" applyAlignment="1" applyBorder="1" applyFont="1" applyNumberFormat="1">
      <alignment readingOrder="0"/>
    </xf>
    <xf borderId="0" fillId="3" fontId="41" numFmtId="0" xfId="0" applyAlignment="1" applyFont="1">
      <alignment readingOrder="0"/>
    </xf>
    <xf borderId="0" fillId="3" fontId="39" numFmtId="0" xfId="0" applyFont="1"/>
    <xf borderId="1" fillId="8" fontId="41" numFmtId="167" xfId="0" applyAlignment="1" applyBorder="1" applyFont="1" applyNumberFormat="1">
      <alignment readingOrder="0"/>
    </xf>
    <xf borderId="1" fillId="8" fontId="46" numFmtId="0" xfId="0" applyAlignment="1" applyBorder="1" applyFont="1">
      <alignment horizontal="right" readingOrder="0"/>
    </xf>
    <xf borderId="1" fillId="9" fontId="51" numFmtId="0" xfId="0" applyBorder="1" applyFont="1"/>
    <xf borderId="0" fillId="10" fontId="47" numFmtId="0" xfId="0" applyAlignment="1" applyFont="1">
      <alignment horizontal="right" readingOrder="0"/>
    </xf>
    <xf borderId="0" fillId="0" fontId="44" numFmtId="0" xfId="0" applyAlignment="1" applyFont="1">
      <alignment readingOrder="0"/>
    </xf>
    <xf borderId="1" fillId="0" fontId="49" numFmtId="0" xfId="0" applyBorder="1" applyFont="1"/>
    <xf borderId="0" fillId="3" fontId="47" numFmtId="0" xfId="0" applyAlignment="1" applyFont="1">
      <alignment horizontal="right" readingOrder="0"/>
    </xf>
    <xf borderId="0" fillId="3" fontId="44" numFmtId="0" xfId="0" applyAlignment="1" applyFont="1">
      <alignment readingOrder="0"/>
    </xf>
    <xf borderId="1" fillId="3" fontId="19" numFmtId="167" xfId="0" applyAlignment="1" applyBorder="1" applyFont="1" applyNumberFormat="1">
      <alignment readingOrder="0"/>
    </xf>
    <xf borderId="1" fillId="3" fontId="19" numFmtId="0" xfId="0" applyAlignment="1" applyBorder="1" applyFont="1">
      <alignment readingOrder="0"/>
    </xf>
    <xf borderId="1" fillId="9" fontId="39" numFmtId="164" xfId="0" applyBorder="1" applyFont="1" applyNumberFormat="1"/>
    <xf borderId="1" fillId="9" fontId="51" numFmtId="164" xfId="0" applyBorder="1" applyFont="1" applyNumberFormat="1"/>
    <xf borderId="1" fillId="0" fontId="39" numFmtId="164" xfId="0" applyBorder="1" applyFont="1" applyNumberFormat="1"/>
    <xf borderId="1" fillId="3" fontId="42" numFmtId="164" xfId="0" applyAlignment="1" applyBorder="1" applyFont="1" applyNumberFormat="1">
      <alignment readingOrder="0"/>
    </xf>
    <xf borderId="0" fillId="8" fontId="52" numFmtId="164" xfId="0" applyFont="1" applyNumberFormat="1"/>
    <xf borderId="1" fillId="3" fontId="53" numFmtId="164" xfId="0" applyBorder="1" applyFont="1" applyNumberFormat="1"/>
    <xf borderId="1" fillId="8" fontId="53" numFmtId="164" xfId="0" applyBorder="1" applyFont="1" applyNumberFormat="1"/>
    <xf borderId="0" fillId="0" fontId="41" numFmtId="164" xfId="0" applyAlignment="1" applyFont="1" applyNumberFormat="1">
      <alignment readingOrder="0"/>
    </xf>
    <xf borderId="0" fillId="11" fontId="54" numFmtId="0" xfId="0" applyAlignment="1" applyFill="1" applyFont="1">
      <alignment horizontal="center" readingOrder="0"/>
    </xf>
    <xf borderId="1" fillId="0" fontId="55" numFmtId="0" xfId="0" applyAlignment="1" applyBorder="1" applyFont="1">
      <alignment readingOrder="0"/>
    </xf>
    <xf borderId="1" fillId="11" fontId="56" numFmtId="0" xfId="0" applyAlignment="1" applyBorder="1" applyFont="1">
      <alignment horizontal="center" readingOrder="0"/>
    </xf>
    <xf borderId="1" fillId="12" fontId="57" numFmtId="165" xfId="0" applyAlignment="1" applyBorder="1" applyFill="1" applyFont="1" applyNumberFormat="1">
      <alignment readingOrder="0"/>
    </xf>
    <xf borderId="1" fillId="12" fontId="57" numFmtId="0" xfId="0" applyAlignment="1" applyBorder="1" applyFont="1">
      <alignment readingOrder="0"/>
    </xf>
    <xf borderId="1" fillId="12" fontId="1" numFmtId="165" xfId="0" applyAlignment="1" applyBorder="1" applyFont="1" applyNumberFormat="1">
      <alignment readingOrder="0"/>
    </xf>
    <xf borderId="1" fillId="12" fontId="1" numFmtId="0" xfId="0" applyAlignment="1" applyBorder="1" applyFont="1">
      <alignment readingOrder="0"/>
    </xf>
    <xf borderId="1" fillId="12" fontId="1" numFmtId="166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12" fontId="19" numFmtId="166" xfId="0" applyAlignment="1" applyBorder="1" applyFont="1" applyNumberFormat="1">
      <alignment readingOrder="0"/>
    </xf>
    <xf borderId="1" fillId="12" fontId="19" numFmtId="0" xfId="0" applyAlignment="1" applyBorder="1" applyFon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12" fontId="27" numFmtId="0" xfId="0" applyAlignment="1" applyBorder="1" applyFont="1">
      <alignment readingOrder="0"/>
    </xf>
    <xf borderId="1" fillId="12" fontId="19" numFmtId="165" xfId="0" applyAlignment="1" applyBorder="1" applyFont="1" applyNumberFormat="1">
      <alignment readingOrder="0"/>
    </xf>
    <xf borderId="2" fillId="13" fontId="58" numFmtId="0" xfId="0" applyAlignment="1" applyBorder="1" applyFill="1" applyFont="1">
      <alignment horizontal="center" readingOrder="0"/>
    </xf>
    <xf borderId="1" fillId="14" fontId="33" numFmtId="0" xfId="0" applyAlignment="1" applyBorder="1" applyFill="1" applyFont="1">
      <alignment horizontal="center" readingOrder="0"/>
    </xf>
    <xf borderId="1" fillId="15" fontId="1" numFmtId="165" xfId="0" applyAlignment="1" applyBorder="1" applyFill="1" applyFont="1" applyNumberFormat="1">
      <alignment readingOrder="0"/>
    </xf>
    <xf borderId="1" fillId="15" fontId="1" numFmtId="0" xfId="0" applyAlignment="1" applyBorder="1" applyFont="1">
      <alignment readingOrder="0"/>
    </xf>
    <xf borderId="1" fillId="0" fontId="59" numFmtId="0" xfId="0" applyAlignment="1" applyBorder="1" applyFont="1">
      <alignment readingOrder="0"/>
    </xf>
    <xf borderId="1" fillId="0" fontId="19" numFmtId="165" xfId="0" applyAlignment="1" applyBorder="1" applyFont="1" applyNumberFormat="1">
      <alignment readingOrder="0"/>
    </xf>
    <xf borderId="1" fillId="0" fontId="60" numFmtId="0" xfId="0" applyAlignment="1" applyBorder="1" applyFont="1">
      <alignment readingOrder="0"/>
    </xf>
    <xf borderId="1" fillId="0" fontId="61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1" fillId="3" fontId="10" numFmtId="165" xfId="0" applyAlignment="1" applyBorder="1" applyFont="1" applyNumberFormat="1">
      <alignment horizontal="right" readingOrder="0" vertical="bottom"/>
    </xf>
    <xf borderId="1" fillId="3" fontId="10" numFmtId="0" xfId="0" applyAlignment="1" applyBorder="1" applyFont="1">
      <alignment horizontal="right" vertical="bottom"/>
    </xf>
    <xf borderId="1" fillId="3" fontId="10" numFmtId="0" xfId="0" applyAlignment="1" applyBorder="1" applyFont="1">
      <alignment readingOrder="0" vertical="bottom"/>
    </xf>
    <xf borderId="0" fillId="3" fontId="1" numFmtId="164" xfId="0" applyAlignment="1" applyFont="1" applyNumberFormat="1">
      <alignment readingOrder="0"/>
    </xf>
    <xf borderId="1" fillId="3" fontId="19" numFmtId="165" xfId="0" applyAlignment="1" applyBorder="1" applyFont="1" applyNumberFormat="1">
      <alignment readingOrder="0"/>
    </xf>
    <xf borderId="1" fillId="15" fontId="1" numFmtId="166" xfId="0" applyAlignment="1" applyBorder="1" applyFont="1" applyNumberFormat="1">
      <alignment readingOrder="0"/>
    </xf>
    <xf borderId="1" fillId="15" fontId="62" numFmtId="0" xfId="0" applyAlignment="1" applyBorder="1" applyFont="1">
      <alignment readingOrder="0"/>
    </xf>
    <xf borderId="1" fillId="0" fontId="19" numFmtId="166" xfId="0" applyAlignment="1" applyBorder="1" applyFont="1" applyNumberFormat="1">
      <alignment readingOrder="0"/>
    </xf>
    <xf borderId="1" fillId="15" fontId="57" numFmtId="0" xfId="0" applyAlignment="1" applyBorder="1" applyFont="1">
      <alignment readingOrder="0"/>
    </xf>
    <xf borderId="2" fillId="12" fontId="63" numFmtId="0" xfId="0" applyAlignment="1" applyBorder="1" applyFont="1">
      <alignment horizontal="center"/>
    </xf>
    <xf borderId="5" fillId="12" fontId="64" numFmtId="0" xfId="0" applyAlignment="1" applyBorder="1" applyFont="1">
      <alignment horizontal="center" readingOrder="0" textRotation="90" vertical="center"/>
    </xf>
    <xf borderId="1" fillId="0" fontId="24" numFmtId="0" xfId="0" applyAlignment="1" applyBorder="1" applyFont="1">
      <alignment readingOrder="0"/>
    </xf>
    <xf borderId="1" fillId="0" fontId="24" numFmtId="164" xfId="0" applyAlignment="1" applyBorder="1" applyFont="1" applyNumberFormat="1">
      <alignment readingOrder="0"/>
    </xf>
    <xf borderId="1" fillId="0" fontId="65" numFmtId="0" xfId="0" applyAlignment="1" applyBorder="1" applyFont="1">
      <alignment horizontal="center" readingOrder="0"/>
    </xf>
    <xf borderId="6" fillId="0" fontId="6" numFmtId="0" xfId="0" applyBorder="1" applyFont="1"/>
    <xf borderId="1" fillId="0" fontId="66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1" fillId="0" fontId="18" numFmtId="164" xfId="0" applyAlignment="1" applyBorder="1" applyFont="1" applyNumberFormat="1">
      <alignment readingOrder="0"/>
    </xf>
    <xf borderId="0" fillId="0" fontId="25" numFmtId="0" xfId="0" applyAlignment="1" applyFont="1">
      <alignment readingOrder="0"/>
    </xf>
    <xf borderId="0" fillId="0" fontId="27" numFmtId="0" xfId="0" applyAlignment="1" applyFont="1">
      <alignment readingOrder="0"/>
    </xf>
    <xf borderId="7" fillId="0" fontId="6" numFmtId="0" xfId="0" applyBorder="1" applyFont="1"/>
    <xf borderId="1" fillId="0" fontId="4" numFmtId="164" xfId="0" applyBorder="1" applyFont="1" applyNumberFormat="1"/>
    <xf borderId="1" fillId="0" fontId="67" numFmtId="0" xfId="0" applyBorder="1" applyFont="1"/>
    <xf borderId="5" fillId="12" fontId="4" numFmtId="0" xfId="0" applyAlignment="1" applyBorder="1" applyFont="1">
      <alignment horizontal="center" textRotation="90" vertical="center"/>
    </xf>
    <xf borderId="1" fillId="0" fontId="13" numFmtId="164" xfId="0" applyBorder="1" applyFont="1" applyNumberFormat="1"/>
    <xf borderId="1" fillId="0" fontId="68" numFmtId="0" xfId="0" applyBorder="1" applyFont="1"/>
    <xf borderId="1" fillId="0" fontId="69" numFmtId="0" xfId="0" applyBorder="1" applyFont="1"/>
    <xf borderId="1" fillId="0" fontId="64" numFmtId="0" xfId="0" applyAlignment="1" applyBorder="1" applyFont="1">
      <alignment readingOrder="0"/>
    </xf>
    <xf borderId="1" fillId="0" fontId="70" numFmtId="0" xfId="0" applyBorder="1" applyFont="1"/>
    <xf borderId="5" fillId="12" fontId="71" numFmtId="0" xfId="0" applyAlignment="1" applyBorder="1" applyFont="1">
      <alignment horizontal="center" textRotation="90" vertical="center"/>
    </xf>
    <xf borderId="1" fillId="0" fontId="72" numFmtId="0" xfId="0" applyBorder="1" applyFont="1"/>
    <xf borderId="1" fillId="0" fontId="27" numFmtId="164" xfId="0" applyBorder="1" applyFont="1" applyNumberFormat="1"/>
    <xf borderId="1" fillId="3" fontId="73" numFmtId="0" xfId="0" applyAlignment="1" applyBorder="1" applyFont="1">
      <alignment horizontal="center" readingOrder="0"/>
    </xf>
    <xf borderId="0" fillId="0" fontId="4" numFmtId="0" xfId="0" applyAlignment="1" applyFont="1">
      <alignment horizontal="center" textRotation="90" vertical="center"/>
    </xf>
    <xf borderId="0" fillId="0" fontId="4" numFmtId="164" xfId="0" applyFont="1" applyNumberFormat="1"/>
    <xf borderId="0" fillId="0" fontId="74" numFmtId="0" xfId="0" applyFont="1"/>
    <xf borderId="1" fillId="3" fontId="75" numFmtId="0" xfId="0" applyAlignment="1" applyBorder="1" applyFont="1">
      <alignment readingOrder="0"/>
    </xf>
    <xf borderId="1" fillId="0" fontId="64" numFmtId="164" xfId="0" applyAlignment="1" applyBorder="1" applyFont="1" applyNumberFormat="1">
      <alignment readingOrder="0"/>
    </xf>
    <xf borderId="1" fillId="11" fontId="75" numFmtId="0" xfId="0" applyAlignment="1" applyBorder="1" applyFont="1">
      <alignment readingOrder="0"/>
    </xf>
    <xf borderId="1" fillId="11" fontId="1" numFmtId="0" xfId="0" applyAlignment="1" applyBorder="1" applyFont="1">
      <alignment readingOrder="0"/>
    </xf>
    <xf borderId="1" fillId="11" fontId="64" numFmtId="164" xfId="0" applyAlignment="1" applyBorder="1" applyFont="1" applyNumberFormat="1">
      <alignment readingOrder="0"/>
    </xf>
    <xf borderId="1" fillId="11" fontId="2" numFmtId="164" xfId="0" applyBorder="1" applyFont="1" applyNumberFormat="1"/>
    <xf borderId="1" fillId="16" fontId="75" numFmtId="0" xfId="0" applyAlignment="1" applyBorder="1" applyFill="1" applyFont="1">
      <alignment readingOrder="0"/>
    </xf>
    <xf borderId="1" fillId="16" fontId="1" numFmtId="0" xfId="0" applyAlignment="1" applyBorder="1" applyFont="1">
      <alignment readingOrder="0"/>
    </xf>
    <xf borderId="1" fillId="16" fontId="64" numFmtId="164" xfId="0" applyAlignment="1" applyBorder="1" applyFont="1" applyNumberFormat="1">
      <alignment readingOrder="0"/>
    </xf>
    <xf borderId="1" fillId="16" fontId="2" numFmtId="164" xfId="0" applyBorder="1" applyFont="1" applyNumberFormat="1"/>
    <xf borderId="0" fillId="3" fontId="75" numFmtId="0" xfId="0" applyAlignment="1" applyFont="1">
      <alignment readingOrder="0"/>
    </xf>
    <xf borderId="0" fillId="0" fontId="64" numFmtId="164" xfId="0" applyAlignment="1" applyFont="1" applyNumberFormat="1">
      <alignment readingOrder="0"/>
    </xf>
    <xf borderId="5" fillId="12" fontId="15" numFmtId="0" xfId="0" applyAlignment="1" applyBorder="1" applyFont="1">
      <alignment horizontal="center" readingOrder="0" textRotation="90" vertical="center"/>
    </xf>
    <xf borderId="0" fillId="3" fontId="19" numFmtId="0" xfId="0" applyAlignment="1" applyFont="1">
      <alignment readingOrder="0"/>
    </xf>
    <xf borderId="1" fillId="17" fontId="75" numFmtId="0" xfId="0" applyAlignment="1" applyBorder="1" applyFill="1" applyFont="1">
      <alignment readingOrder="0"/>
    </xf>
    <xf borderId="1" fillId="17" fontId="1" numFmtId="0" xfId="0" applyAlignment="1" applyBorder="1" applyFont="1">
      <alignment readingOrder="0"/>
    </xf>
    <xf borderId="1" fillId="17" fontId="1" numFmtId="164" xfId="0" applyAlignment="1" applyBorder="1" applyFont="1" applyNumberFormat="1">
      <alignment readingOrder="0"/>
    </xf>
    <xf borderId="1" fillId="17" fontId="2" numFmtId="164" xfId="0" applyBorder="1" applyFont="1" applyNumberFormat="1"/>
    <xf borderId="1" fillId="3" fontId="4" numFmtId="0" xfId="0" applyAlignment="1" applyBorder="1" applyFont="1">
      <alignment horizontal="center" textRotation="90" vertical="center"/>
    </xf>
    <xf borderId="0" fillId="0" fontId="4" numFmtId="0" xfId="0" applyFont="1"/>
    <xf borderId="0" fillId="0" fontId="67" numFmtId="0" xfId="0" applyFont="1"/>
    <xf borderId="1" fillId="3" fontId="19" numFmtId="4" xfId="0" applyAlignment="1" applyBorder="1" applyFont="1" applyNumberFormat="1">
      <alignment readingOrder="0"/>
    </xf>
    <xf borderId="1" fillId="3" fontId="19" numFmtId="164" xfId="0" applyAlignment="1" applyBorder="1" applyFont="1" applyNumberFormat="1">
      <alignment readingOrder="0"/>
    </xf>
    <xf borderId="1" fillId="3" fontId="27" numFmtId="164" xfId="0" applyBorder="1" applyFont="1" applyNumberFormat="1"/>
    <xf borderId="1" fillId="14" fontId="75" numFmtId="0" xfId="0" applyAlignment="1" applyBorder="1" applyFont="1">
      <alignment readingOrder="0"/>
    </xf>
    <xf borderId="1" fillId="14" fontId="1" numFmtId="0" xfId="0" applyAlignment="1" applyBorder="1" applyFont="1">
      <alignment readingOrder="0"/>
    </xf>
    <xf borderId="1" fillId="14" fontId="1" numFmtId="164" xfId="0" applyAlignment="1" applyBorder="1" applyFont="1" applyNumberFormat="1">
      <alignment readingOrder="0"/>
    </xf>
    <xf borderId="1" fillId="14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548985041143" TargetMode="External"/><Relationship Id="rId2" Type="http://schemas.openxmlformats.org/officeDocument/2006/relationships/hyperlink" Target="https://wa.me/5521999858192" TargetMode="External"/><Relationship Id="rId3" Type="http://schemas.openxmlformats.org/officeDocument/2006/relationships/hyperlink" Target="https://wa.me/5511983360516" TargetMode="External"/><Relationship Id="rId4" Type="http://schemas.openxmlformats.org/officeDocument/2006/relationships/hyperlink" Target="https://wa.me/5541996555382" TargetMode="External"/><Relationship Id="rId5" Type="http://schemas.openxmlformats.org/officeDocument/2006/relationships/hyperlink" Target="https://wa.me/5546999058060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25"/>
    <col customWidth="1" min="2" max="2" width="35.5"/>
    <col customWidth="1" min="3" max="3" width="17.0"/>
    <col customWidth="1" min="4" max="5" width="13.25"/>
    <col customWidth="1" min="6" max="7" width="11.88"/>
    <col customWidth="1" min="8" max="8" width="23.25"/>
    <col customWidth="1" min="9" max="9" width="18.63"/>
    <col customWidth="1" min="10" max="10" width="15.0"/>
    <col customWidth="1" min="11" max="11" width="8.63"/>
    <col customWidth="1" min="12" max="12" width="15.88"/>
    <col customWidth="1" min="13" max="13" width="8.0"/>
    <col customWidth="1" min="14" max="14" width="13.25"/>
    <col customWidth="1" min="15" max="28" width="8.63"/>
  </cols>
  <sheetData>
    <row r="1">
      <c r="A1" s="1"/>
      <c r="B1" s="2"/>
      <c r="E1" s="3"/>
      <c r="F1" s="4"/>
      <c r="G1" s="5"/>
    </row>
    <row r="2">
      <c r="A2" s="6"/>
      <c r="B2" s="7" t="s">
        <v>0</v>
      </c>
      <c r="C2" s="8"/>
      <c r="D2" s="8"/>
      <c r="E2" s="8"/>
      <c r="F2" s="8"/>
      <c r="G2" s="8"/>
      <c r="H2" s="9"/>
    </row>
    <row r="3">
      <c r="A3" s="10"/>
      <c r="E3" s="3"/>
      <c r="F3" s="4"/>
      <c r="G3" s="5"/>
    </row>
    <row r="4">
      <c r="A4" s="11" t="s">
        <v>1</v>
      </c>
      <c r="B4" s="12" t="s">
        <v>2</v>
      </c>
      <c r="C4" s="12" t="s">
        <v>1</v>
      </c>
      <c r="D4" s="12" t="s">
        <v>3</v>
      </c>
      <c r="E4" s="13" t="s">
        <v>4</v>
      </c>
      <c r="F4" s="14" t="s">
        <v>5</v>
      </c>
      <c r="G4" s="12" t="s">
        <v>6</v>
      </c>
      <c r="H4" s="12" t="s">
        <v>7</v>
      </c>
    </row>
    <row r="5">
      <c r="A5" s="15"/>
      <c r="B5" s="15" t="s">
        <v>8</v>
      </c>
      <c r="C5" s="15" t="s">
        <v>9</v>
      </c>
      <c r="D5" s="15" t="s">
        <v>10</v>
      </c>
      <c r="E5" s="16">
        <v>870.0</v>
      </c>
      <c r="F5" s="17"/>
      <c r="G5" s="18" t="s">
        <v>11</v>
      </c>
      <c r="H5" s="19" t="s">
        <v>12</v>
      </c>
    </row>
    <row r="6">
      <c r="A6" s="15"/>
      <c r="B6" s="15" t="s">
        <v>13</v>
      </c>
      <c r="C6" s="15" t="s">
        <v>14</v>
      </c>
      <c r="D6" s="15" t="s">
        <v>15</v>
      </c>
      <c r="E6" s="16">
        <v>690.0</v>
      </c>
      <c r="F6" s="17"/>
      <c r="G6" s="18" t="s">
        <v>16</v>
      </c>
      <c r="H6" s="15" t="s">
        <v>17</v>
      </c>
    </row>
    <row r="7">
      <c r="A7" s="20"/>
      <c r="B7" s="20" t="s">
        <v>18</v>
      </c>
      <c r="C7" s="20" t="s">
        <v>19</v>
      </c>
      <c r="D7" s="20" t="s">
        <v>20</v>
      </c>
      <c r="E7" s="21">
        <v>690.0</v>
      </c>
      <c r="F7" s="22">
        <v>690.0</v>
      </c>
      <c r="G7" s="23">
        <v>45537.0</v>
      </c>
      <c r="H7" s="24"/>
    </row>
    <row r="8">
      <c r="A8" s="19"/>
      <c r="B8" s="19" t="s">
        <v>21</v>
      </c>
      <c r="C8" s="19" t="s">
        <v>22</v>
      </c>
      <c r="D8" s="19" t="s">
        <v>23</v>
      </c>
      <c r="E8" s="25">
        <v>690.0</v>
      </c>
      <c r="F8" s="26" t="s">
        <v>24</v>
      </c>
      <c r="G8" s="27">
        <v>45540.0</v>
      </c>
      <c r="H8" s="19" t="s">
        <v>25</v>
      </c>
    </row>
    <row r="9">
      <c r="A9" s="28"/>
      <c r="B9" s="28" t="s">
        <v>26</v>
      </c>
      <c r="C9" s="28" t="s">
        <v>22</v>
      </c>
      <c r="D9" s="28" t="s">
        <v>27</v>
      </c>
      <c r="E9" s="29">
        <v>837.0</v>
      </c>
      <c r="F9" s="30">
        <v>837.0</v>
      </c>
      <c r="G9" s="31">
        <v>45537.0</v>
      </c>
      <c r="H9" s="32"/>
      <c r="J9" s="33"/>
      <c r="K9" s="34" t="s">
        <v>28</v>
      </c>
    </row>
    <row r="10">
      <c r="A10" s="19"/>
      <c r="B10" s="19" t="s">
        <v>29</v>
      </c>
      <c r="C10" s="19" t="s">
        <v>30</v>
      </c>
      <c r="D10" s="19" t="s">
        <v>31</v>
      </c>
      <c r="E10" s="25">
        <v>1035.0</v>
      </c>
      <c r="F10" s="26" t="s">
        <v>24</v>
      </c>
      <c r="G10" s="27">
        <v>45538.0</v>
      </c>
      <c r="H10" s="19" t="s">
        <v>32</v>
      </c>
      <c r="J10" s="35"/>
      <c r="K10" s="34" t="s">
        <v>33</v>
      </c>
    </row>
    <row r="11">
      <c r="A11" s="28"/>
      <c r="B11" s="28" t="s">
        <v>34</v>
      </c>
      <c r="C11" s="28" t="s">
        <v>35</v>
      </c>
      <c r="D11" s="28" t="s">
        <v>31</v>
      </c>
      <c r="E11" s="29">
        <v>1030.0</v>
      </c>
      <c r="F11" s="36">
        <v>1030.0</v>
      </c>
      <c r="G11" s="31">
        <v>45555.0</v>
      </c>
      <c r="H11" s="28"/>
      <c r="J11" s="37"/>
      <c r="K11" s="34" t="s">
        <v>36</v>
      </c>
    </row>
    <row r="12">
      <c r="A12" s="28"/>
      <c r="B12" s="28" t="s">
        <v>37</v>
      </c>
      <c r="C12" s="28" t="s">
        <v>38</v>
      </c>
      <c r="D12" s="28" t="s">
        <v>20</v>
      </c>
      <c r="E12" s="29">
        <v>985.0</v>
      </c>
      <c r="F12" s="30">
        <v>985.0</v>
      </c>
      <c r="G12" s="31">
        <v>45542.0</v>
      </c>
      <c r="H12" s="38"/>
      <c r="J12" s="39"/>
      <c r="K12" s="34" t="s">
        <v>39</v>
      </c>
    </row>
    <row r="13">
      <c r="A13" s="28"/>
      <c r="B13" s="28" t="s">
        <v>40</v>
      </c>
      <c r="C13" s="28" t="s">
        <v>22</v>
      </c>
      <c r="D13" s="28" t="s">
        <v>15</v>
      </c>
      <c r="E13" s="29">
        <v>1498.0</v>
      </c>
      <c r="F13" s="30">
        <v>1498.0</v>
      </c>
      <c r="G13" s="31">
        <v>45538.0</v>
      </c>
      <c r="H13" s="32"/>
    </row>
    <row r="14">
      <c r="A14" s="28"/>
      <c r="B14" s="28" t="s">
        <v>41</v>
      </c>
      <c r="C14" s="28" t="s">
        <v>22</v>
      </c>
      <c r="D14" s="28" t="s">
        <v>10</v>
      </c>
      <c r="E14" s="29">
        <v>790.0</v>
      </c>
      <c r="F14" s="30">
        <v>790.0</v>
      </c>
      <c r="G14" s="31">
        <v>45539.0</v>
      </c>
      <c r="H14" s="32"/>
    </row>
    <row r="15">
      <c r="A15" s="28"/>
      <c r="B15" s="28" t="s">
        <v>42</v>
      </c>
      <c r="C15" s="28" t="s">
        <v>43</v>
      </c>
      <c r="D15" s="28" t="s">
        <v>31</v>
      </c>
      <c r="E15" s="29">
        <v>345.0</v>
      </c>
      <c r="F15" s="30">
        <v>345.0</v>
      </c>
      <c r="G15" s="40"/>
      <c r="H15" s="38"/>
    </row>
    <row r="16">
      <c r="A16" s="28"/>
      <c r="B16" s="28" t="s">
        <v>44</v>
      </c>
      <c r="C16" s="41" t="s">
        <v>43</v>
      </c>
      <c r="D16" s="28" t="s">
        <v>10</v>
      </c>
      <c r="E16" s="29">
        <v>345.0</v>
      </c>
      <c r="F16" s="30">
        <v>345.0</v>
      </c>
      <c r="G16" s="40"/>
      <c r="H16" s="38"/>
    </row>
    <row r="17">
      <c r="A17" s="42"/>
      <c r="B17" s="42" t="s">
        <v>45</v>
      </c>
      <c r="C17" s="42" t="s">
        <v>46</v>
      </c>
      <c r="D17" s="42" t="s">
        <v>20</v>
      </c>
      <c r="E17" s="43">
        <v>2160.0</v>
      </c>
      <c r="F17" s="44"/>
      <c r="G17" s="27">
        <v>45572.0</v>
      </c>
      <c r="H17" s="42" t="s">
        <v>47</v>
      </c>
    </row>
    <row r="18">
      <c r="A18" s="42"/>
      <c r="B18" s="42" t="s">
        <v>48</v>
      </c>
      <c r="C18" s="42" t="s">
        <v>49</v>
      </c>
      <c r="D18" s="42" t="s">
        <v>50</v>
      </c>
      <c r="E18" s="43">
        <v>790.0</v>
      </c>
      <c r="F18" s="26" t="s">
        <v>24</v>
      </c>
      <c r="G18" s="27">
        <v>45548.0</v>
      </c>
      <c r="H18" s="42" t="s">
        <v>51</v>
      </c>
    </row>
    <row r="19">
      <c r="A19" s="45"/>
      <c r="B19" s="45" t="s">
        <v>52</v>
      </c>
      <c r="C19" s="45" t="s">
        <v>53</v>
      </c>
      <c r="D19" s="45" t="s">
        <v>27</v>
      </c>
      <c r="E19" s="46">
        <v>1390.0</v>
      </c>
      <c r="F19" s="47">
        <v>1390.0</v>
      </c>
      <c r="G19" s="31">
        <v>45546.0</v>
      </c>
      <c r="H19" s="48"/>
    </row>
    <row r="20">
      <c r="A20" s="45"/>
      <c r="B20" s="45" t="s">
        <v>54</v>
      </c>
      <c r="C20" s="45" t="s">
        <v>55</v>
      </c>
      <c r="D20" s="45" t="s">
        <v>31</v>
      </c>
      <c r="E20" s="46">
        <v>1239.0</v>
      </c>
      <c r="F20" s="47">
        <v>1324.0</v>
      </c>
      <c r="G20" s="31">
        <v>45555.0</v>
      </c>
      <c r="H20" s="45" t="s">
        <v>56</v>
      </c>
    </row>
    <row r="21" ht="15.75" customHeight="1">
      <c r="A21" s="49"/>
      <c r="B21" s="49" t="s">
        <v>57</v>
      </c>
      <c r="C21" s="49" t="s">
        <v>58</v>
      </c>
      <c r="D21" s="49" t="s">
        <v>23</v>
      </c>
      <c r="E21" s="50">
        <v>790.0</v>
      </c>
      <c r="F21" s="51">
        <v>790.0</v>
      </c>
      <c r="G21" s="52">
        <v>45550.0</v>
      </c>
      <c r="H21" s="10"/>
    </row>
    <row r="22" ht="15.75" customHeight="1">
      <c r="A22" s="42"/>
      <c r="B22" s="42" t="s">
        <v>59</v>
      </c>
      <c r="C22" s="42" t="s">
        <v>60</v>
      </c>
      <c r="D22" s="42" t="s">
        <v>20</v>
      </c>
      <c r="E22" s="43">
        <v>1520.0</v>
      </c>
      <c r="F22" s="26" t="s">
        <v>24</v>
      </c>
      <c r="G22" s="27">
        <v>45552.0</v>
      </c>
      <c r="H22" s="42" t="s">
        <v>61</v>
      </c>
    </row>
    <row r="23" ht="15.75" customHeight="1">
      <c r="A23" s="45"/>
      <c r="B23" s="45" t="s">
        <v>62</v>
      </c>
      <c r="C23" s="45" t="s">
        <v>49</v>
      </c>
      <c r="D23" s="45" t="s">
        <v>20</v>
      </c>
      <c r="E23" s="46">
        <v>790.0</v>
      </c>
      <c r="F23" s="47">
        <v>790.0</v>
      </c>
      <c r="G23" s="31">
        <v>45552.0</v>
      </c>
      <c r="H23" s="53"/>
    </row>
    <row r="24" ht="15.75" customHeight="1">
      <c r="A24" s="45"/>
      <c r="B24" s="45" t="s">
        <v>63</v>
      </c>
      <c r="C24" s="45" t="s">
        <v>64</v>
      </c>
      <c r="D24" s="45" t="s">
        <v>65</v>
      </c>
      <c r="E24" s="46">
        <v>3302.0</v>
      </c>
      <c r="F24" s="47">
        <v>3302.0</v>
      </c>
      <c r="G24" s="31">
        <v>45553.0</v>
      </c>
      <c r="H24" s="48"/>
    </row>
    <row r="25" ht="15.75" customHeight="1">
      <c r="A25" s="42"/>
      <c r="B25" s="42" t="s">
        <v>66</v>
      </c>
      <c r="C25" s="42" t="s">
        <v>67</v>
      </c>
      <c r="D25" s="42" t="s">
        <v>23</v>
      </c>
      <c r="E25" s="43">
        <v>2883.0</v>
      </c>
      <c r="F25" s="26"/>
      <c r="G25" s="27">
        <v>45555.0</v>
      </c>
      <c r="H25" s="42" t="s">
        <v>68</v>
      </c>
    </row>
    <row r="26" ht="15.75" customHeight="1">
      <c r="A26" s="45"/>
      <c r="B26" s="45" t="s">
        <v>69</v>
      </c>
      <c r="C26" s="45" t="s">
        <v>70</v>
      </c>
      <c r="D26" s="45" t="s">
        <v>23</v>
      </c>
      <c r="E26" s="46">
        <v>395.0</v>
      </c>
      <c r="F26" s="47">
        <v>395.0</v>
      </c>
      <c r="G26" s="31">
        <v>45555.0</v>
      </c>
      <c r="H26" s="48"/>
    </row>
    <row r="27" ht="15.75" customHeight="1">
      <c r="A27" s="45"/>
      <c r="B27" s="45" t="s">
        <v>71</v>
      </c>
      <c r="C27" s="45" t="s">
        <v>72</v>
      </c>
      <c r="D27" s="45" t="s">
        <v>50</v>
      </c>
      <c r="E27" s="46">
        <v>590.0</v>
      </c>
      <c r="F27" s="47">
        <v>590.0</v>
      </c>
      <c r="G27" s="31">
        <v>45556.0</v>
      </c>
      <c r="H27" s="10"/>
    </row>
    <row r="28" ht="15.75" customHeight="1">
      <c r="A28" s="45"/>
      <c r="B28" s="45" t="s">
        <v>73</v>
      </c>
      <c r="C28" s="45" t="s">
        <v>35</v>
      </c>
      <c r="D28" s="45" t="s">
        <v>15</v>
      </c>
      <c r="E28" s="46">
        <v>980.0</v>
      </c>
      <c r="F28" s="54">
        <v>980.0</v>
      </c>
      <c r="G28" s="31">
        <v>45562.0</v>
      </c>
      <c r="H28" s="45" t="s">
        <v>74</v>
      </c>
      <c r="I28" s="55" t="s">
        <v>75</v>
      </c>
      <c r="J28" s="56"/>
    </row>
    <row r="29" ht="15.75" customHeight="1">
      <c r="A29" s="45"/>
      <c r="B29" s="45" t="s">
        <v>76</v>
      </c>
      <c r="C29" s="45" t="s">
        <v>77</v>
      </c>
      <c r="D29" s="45" t="s">
        <v>20</v>
      </c>
      <c r="E29" s="46">
        <v>5988.0</v>
      </c>
      <c r="F29" s="54">
        <v>5988.0</v>
      </c>
      <c r="G29" s="31">
        <v>45557.0</v>
      </c>
      <c r="H29" s="1" t="s">
        <v>78</v>
      </c>
    </row>
    <row r="30" ht="15.75" customHeight="1">
      <c r="A30" s="42"/>
      <c r="B30" s="42" t="s">
        <v>79</v>
      </c>
      <c r="C30" s="42" t="s">
        <v>80</v>
      </c>
      <c r="D30" s="42" t="s">
        <v>10</v>
      </c>
      <c r="E30" s="43">
        <v>3012.0</v>
      </c>
      <c r="F30" s="26"/>
      <c r="G30" s="27">
        <v>45560.0</v>
      </c>
      <c r="H30" s="42" t="s">
        <v>68</v>
      </c>
    </row>
    <row r="31" ht="15.75" customHeight="1">
      <c r="A31" s="45"/>
      <c r="B31" s="45" t="s">
        <v>79</v>
      </c>
      <c r="C31" s="45" t="s">
        <v>80</v>
      </c>
      <c r="D31" s="45" t="s">
        <v>20</v>
      </c>
      <c r="E31" s="46">
        <v>3012.0</v>
      </c>
      <c r="F31" s="54">
        <v>3012.0</v>
      </c>
      <c r="G31" s="31">
        <v>45560.0</v>
      </c>
      <c r="H31" s="10"/>
    </row>
    <row r="32" ht="15.75" customHeight="1">
      <c r="A32" s="45"/>
      <c r="B32" s="45" t="s">
        <v>81</v>
      </c>
      <c r="C32" s="45" t="s">
        <v>82</v>
      </c>
      <c r="D32" s="45" t="s">
        <v>50</v>
      </c>
      <c r="E32" s="57">
        <v>395.0</v>
      </c>
      <c r="F32" s="54">
        <v>395.0</v>
      </c>
      <c r="G32" s="31">
        <v>45559.0</v>
      </c>
      <c r="H32" s="48"/>
    </row>
    <row r="33" ht="15.75" customHeight="1">
      <c r="A33" s="58"/>
      <c r="B33" s="58" t="s">
        <v>83</v>
      </c>
      <c r="C33" s="42" t="s">
        <v>84</v>
      </c>
      <c r="D33" s="42" t="s">
        <v>23</v>
      </c>
      <c r="E33" s="43">
        <v>847.0</v>
      </c>
      <c r="F33" s="44"/>
      <c r="G33" s="27">
        <v>45563.0</v>
      </c>
      <c r="H33" s="42" t="s">
        <v>85</v>
      </c>
    </row>
    <row r="34" ht="15.75" customHeight="1">
      <c r="A34" s="59"/>
      <c r="B34" s="59" t="s">
        <v>86</v>
      </c>
      <c r="C34" s="45" t="s">
        <v>53</v>
      </c>
      <c r="D34" s="45" t="s">
        <v>31</v>
      </c>
      <c r="E34" s="46">
        <v>790.0</v>
      </c>
      <c r="F34" s="54">
        <v>790.0</v>
      </c>
      <c r="G34" s="31">
        <v>45559.0</v>
      </c>
      <c r="H34" s="60"/>
    </row>
    <row r="35" ht="15.75" customHeight="1">
      <c r="A35" s="45"/>
      <c r="B35" s="45" t="s">
        <v>87</v>
      </c>
      <c r="C35" s="45" t="s">
        <v>82</v>
      </c>
      <c r="D35" s="45" t="s">
        <v>20</v>
      </c>
      <c r="E35" s="46">
        <v>590.0</v>
      </c>
      <c r="F35" s="47">
        <v>590.0</v>
      </c>
      <c r="G35" s="31">
        <v>45561.0</v>
      </c>
      <c r="H35" s="48"/>
    </row>
    <row r="36" ht="15.75" customHeight="1">
      <c r="A36" s="45"/>
      <c r="B36" s="45" t="s">
        <v>88</v>
      </c>
      <c r="C36" s="45" t="s">
        <v>89</v>
      </c>
      <c r="D36" s="45" t="s">
        <v>31</v>
      </c>
      <c r="E36" s="46">
        <v>1275.0</v>
      </c>
      <c r="F36" s="47">
        <v>1364.0</v>
      </c>
      <c r="G36" s="31">
        <v>45561.0</v>
      </c>
      <c r="H36" s="45" t="s">
        <v>90</v>
      </c>
    </row>
    <row r="37" ht="15.75" customHeight="1">
      <c r="A37" s="45"/>
      <c r="B37" s="45" t="s">
        <v>91</v>
      </c>
      <c r="C37" s="45" t="s">
        <v>89</v>
      </c>
      <c r="D37" s="45" t="s">
        <v>10</v>
      </c>
      <c r="E37" s="46">
        <v>1275.0</v>
      </c>
      <c r="F37" s="47">
        <v>1364.0</v>
      </c>
      <c r="G37" s="31">
        <v>45561.0</v>
      </c>
      <c r="H37" s="61" t="s">
        <v>92</v>
      </c>
    </row>
    <row r="38" ht="15.75" customHeight="1">
      <c r="A38" s="59"/>
      <c r="B38" s="59" t="s">
        <v>93</v>
      </c>
      <c r="C38" s="45" t="s">
        <v>94</v>
      </c>
      <c r="D38" s="45" t="s">
        <v>50</v>
      </c>
      <c r="E38" s="46">
        <v>1071.0</v>
      </c>
      <c r="F38" s="47">
        <v>1071.0</v>
      </c>
      <c r="G38" s="31">
        <v>45561.0</v>
      </c>
      <c r="H38" s="45" t="s">
        <v>95</v>
      </c>
    </row>
    <row r="39" ht="15.75" customHeight="1">
      <c r="A39" s="45"/>
      <c r="B39" s="45" t="s">
        <v>96</v>
      </c>
      <c r="C39" s="45" t="s">
        <v>97</v>
      </c>
      <c r="D39" s="45" t="s">
        <v>23</v>
      </c>
      <c r="E39" s="46">
        <v>2595.0</v>
      </c>
      <c r="F39" s="47">
        <v>2595.0</v>
      </c>
      <c r="G39" s="31">
        <v>45572.0</v>
      </c>
      <c r="H39" s="1"/>
    </row>
    <row r="40" ht="15.75" customHeight="1">
      <c r="A40" s="45"/>
      <c r="B40" s="45" t="s">
        <v>98</v>
      </c>
      <c r="C40" s="45" t="s">
        <v>99</v>
      </c>
      <c r="D40" s="45" t="s">
        <v>10</v>
      </c>
      <c r="E40" s="46">
        <v>657.0</v>
      </c>
      <c r="F40" s="47">
        <v>657.0</v>
      </c>
      <c r="G40" s="31">
        <v>45563.0</v>
      </c>
      <c r="H40" s="48"/>
    </row>
    <row r="41" ht="15.75" customHeight="1">
      <c r="A41" s="45"/>
      <c r="B41" s="45" t="s">
        <v>100</v>
      </c>
      <c r="C41" s="45" t="s">
        <v>58</v>
      </c>
      <c r="D41" s="45" t="s">
        <v>27</v>
      </c>
      <c r="E41" s="46">
        <v>700.0</v>
      </c>
      <c r="F41" s="54">
        <v>700.0</v>
      </c>
      <c r="G41" s="31">
        <v>45562.0</v>
      </c>
      <c r="H41" s="48"/>
    </row>
    <row r="42" ht="15.75" customHeight="1">
      <c r="A42" s="45"/>
      <c r="B42" s="45" t="s">
        <v>101</v>
      </c>
      <c r="C42" s="45" t="s">
        <v>82</v>
      </c>
      <c r="D42" s="45" t="s">
        <v>31</v>
      </c>
      <c r="E42" s="46">
        <v>395.0</v>
      </c>
      <c r="F42" s="47">
        <v>395.0</v>
      </c>
      <c r="G42" s="31">
        <v>45563.0</v>
      </c>
      <c r="H42" s="10"/>
    </row>
    <row r="43" ht="15.75" customHeight="1">
      <c r="A43" s="59"/>
      <c r="B43" s="59" t="s">
        <v>102</v>
      </c>
      <c r="C43" s="45" t="s">
        <v>49</v>
      </c>
      <c r="D43" s="45" t="s">
        <v>15</v>
      </c>
      <c r="E43" s="46">
        <v>1490.0</v>
      </c>
      <c r="F43" s="47">
        <v>1490.0</v>
      </c>
      <c r="G43" s="31">
        <v>45564.0</v>
      </c>
      <c r="H43" s="48"/>
    </row>
    <row r="44" ht="15.75" customHeight="1">
      <c r="A44" s="62"/>
      <c r="B44" s="62" t="s">
        <v>103</v>
      </c>
      <c r="C44" s="62" t="s">
        <v>35</v>
      </c>
      <c r="D44" s="62" t="s">
        <v>10</v>
      </c>
      <c r="E44" s="63">
        <v>837.0</v>
      </c>
      <c r="F44" s="64">
        <v>837.0</v>
      </c>
      <c r="G44" s="23">
        <v>45566.0</v>
      </c>
      <c r="H44" s="62" t="s">
        <v>104</v>
      </c>
      <c r="I44" s="65"/>
    </row>
    <row r="45" ht="15.75" customHeight="1">
      <c r="A45" s="62"/>
      <c r="B45" s="62" t="s">
        <v>105</v>
      </c>
      <c r="C45" s="62" t="s">
        <v>106</v>
      </c>
      <c r="D45" s="62" t="s">
        <v>15</v>
      </c>
      <c r="E45" s="63">
        <v>9619.0</v>
      </c>
      <c r="F45" s="66">
        <v>9619.0</v>
      </c>
      <c r="G45" s="23">
        <v>45566.0</v>
      </c>
      <c r="H45" s="67"/>
      <c r="I45" s="65"/>
    </row>
    <row r="46" ht="15.75" customHeight="1">
      <c r="A46" s="45"/>
      <c r="B46" s="45" t="s">
        <v>107</v>
      </c>
      <c r="C46" s="45" t="s">
        <v>108</v>
      </c>
      <c r="D46" s="45" t="s">
        <v>109</v>
      </c>
      <c r="E46" s="46">
        <v>6272.0</v>
      </c>
      <c r="F46" s="54">
        <v>6272.0</v>
      </c>
      <c r="G46" s="31">
        <v>45568.0</v>
      </c>
      <c r="H46" s="45" t="s">
        <v>110</v>
      </c>
      <c r="I46" s="2" t="s">
        <v>111</v>
      </c>
    </row>
    <row r="47" ht="15.75" customHeight="1">
      <c r="A47" s="68"/>
      <c r="B47" s="68" t="s">
        <v>112</v>
      </c>
      <c r="C47" s="45" t="s">
        <v>77</v>
      </c>
      <c r="D47" s="45" t="s">
        <v>113</v>
      </c>
      <c r="E47" s="46">
        <v>6353.0</v>
      </c>
      <c r="F47" s="54">
        <v>6353.0</v>
      </c>
      <c r="G47" s="31">
        <v>45570.0</v>
      </c>
      <c r="H47" s="45" t="s">
        <v>114</v>
      </c>
    </row>
    <row r="48" ht="15.75" customHeight="1">
      <c r="A48" s="68"/>
      <c r="B48" s="68" t="s">
        <v>115</v>
      </c>
      <c r="C48" s="45" t="s">
        <v>116</v>
      </c>
      <c r="D48" s="45" t="s">
        <v>10</v>
      </c>
      <c r="E48" s="46">
        <v>1356.0</v>
      </c>
      <c r="F48" s="54">
        <v>1356.0</v>
      </c>
      <c r="G48" s="31">
        <v>45567.0</v>
      </c>
      <c r="H48" s="60"/>
    </row>
    <row r="49" ht="15.75" customHeight="1">
      <c r="A49" s="42"/>
      <c r="B49" s="42" t="s">
        <v>117</v>
      </c>
      <c r="C49" s="42" t="s">
        <v>35</v>
      </c>
      <c r="D49" s="42" t="s">
        <v>118</v>
      </c>
      <c r="E49" s="43">
        <v>1588.0</v>
      </c>
      <c r="F49" s="26"/>
      <c r="G49" s="27">
        <v>45568.0</v>
      </c>
      <c r="H49" s="42" t="s">
        <v>119</v>
      </c>
    </row>
    <row r="50" ht="15.75" customHeight="1">
      <c r="A50" s="45"/>
      <c r="B50" s="45" t="s">
        <v>120</v>
      </c>
      <c r="C50" s="45" t="s">
        <v>121</v>
      </c>
      <c r="D50" s="45" t="s">
        <v>122</v>
      </c>
      <c r="E50" s="46">
        <v>365.0</v>
      </c>
      <c r="F50" s="54">
        <v>365.0</v>
      </c>
      <c r="G50" s="31">
        <v>45572.0</v>
      </c>
      <c r="H50" s="10"/>
    </row>
    <row r="51" ht="15.75" customHeight="1">
      <c r="A51" s="45"/>
      <c r="B51" s="45" t="s">
        <v>123</v>
      </c>
      <c r="C51" s="45" t="s">
        <v>124</v>
      </c>
      <c r="D51" s="45" t="s">
        <v>15</v>
      </c>
      <c r="E51" s="46">
        <v>5406.0</v>
      </c>
      <c r="F51" s="54">
        <v>5406.0</v>
      </c>
      <c r="G51" s="31">
        <v>45572.0</v>
      </c>
      <c r="H51" s="60"/>
    </row>
    <row r="52" ht="15.75" customHeight="1">
      <c r="A52" s="45"/>
      <c r="B52" s="45" t="s">
        <v>125</v>
      </c>
      <c r="C52" s="45" t="s">
        <v>22</v>
      </c>
      <c r="D52" s="45" t="s">
        <v>113</v>
      </c>
      <c r="E52" s="46">
        <v>1490.0</v>
      </c>
      <c r="F52" s="47">
        <v>1490.0</v>
      </c>
      <c r="G52" s="31">
        <v>45571.0</v>
      </c>
      <c r="H52" s="10"/>
    </row>
    <row r="53" ht="15.75" customHeight="1">
      <c r="A53" s="45"/>
      <c r="B53" s="45" t="s">
        <v>126</v>
      </c>
      <c r="C53" s="45" t="s">
        <v>127</v>
      </c>
      <c r="D53" s="45" t="s">
        <v>122</v>
      </c>
      <c r="E53" s="46">
        <v>1028.0</v>
      </c>
      <c r="F53" s="54">
        <v>1028.0</v>
      </c>
      <c r="G53" s="31">
        <v>45572.0</v>
      </c>
      <c r="H53" s="48"/>
    </row>
    <row r="54" ht="15.75" customHeight="1">
      <c r="A54" s="45"/>
      <c r="B54" s="45" t="s">
        <v>126</v>
      </c>
      <c r="C54" s="45" t="s">
        <v>127</v>
      </c>
      <c r="D54" s="45" t="s">
        <v>128</v>
      </c>
      <c r="E54" s="46">
        <v>1028.0</v>
      </c>
      <c r="F54" s="54">
        <v>1028.0</v>
      </c>
      <c r="G54" s="31">
        <v>45572.0</v>
      </c>
      <c r="H54" s="48"/>
    </row>
    <row r="55" ht="15.75" customHeight="1">
      <c r="A55" s="45"/>
      <c r="B55" s="45" t="s">
        <v>126</v>
      </c>
      <c r="C55" s="45" t="s">
        <v>127</v>
      </c>
      <c r="D55" s="45" t="s">
        <v>113</v>
      </c>
      <c r="E55" s="46">
        <v>891.0</v>
      </c>
      <c r="F55" s="47">
        <v>891.0</v>
      </c>
      <c r="G55" s="31">
        <v>45576.0</v>
      </c>
      <c r="H55" s="48"/>
    </row>
    <row r="56" ht="15.75" customHeight="1">
      <c r="A56" s="45"/>
      <c r="B56" s="45" t="s">
        <v>129</v>
      </c>
      <c r="C56" s="45" t="s">
        <v>22</v>
      </c>
      <c r="D56" s="45" t="s">
        <v>65</v>
      </c>
      <c r="E56" s="46">
        <v>2278.0</v>
      </c>
      <c r="F56" s="47">
        <v>2278.0</v>
      </c>
      <c r="G56" s="31">
        <v>45573.0</v>
      </c>
      <c r="H56" s="45" t="s">
        <v>130</v>
      </c>
    </row>
    <row r="57" ht="15.75" customHeight="1">
      <c r="A57" s="68"/>
      <c r="B57" s="68" t="s">
        <v>131</v>
      </c>
      <c r="C57" s="45" t="s">
        <v>132</v>
      </c>
      <c r="D57" s="45" t="s">
        <v>15</v>
      </c>
      <c r="E57" s="46">
        <v>2922.0</v>
      </c>
      <c r="F57" s="54">
        <v>2922.0</v>
      </c>
      <c r="G57" s="31">
        <v>45573.0</v>
      </c>
      <c r="H57" s="60"/>
    </row>
    <row r="58" ht="15.75" customHeight="1">
      <c r="A58" s="68"/>
      <c r="B58" s="68" t="s">
        <v>133</v>
      </c>
      <c r="C58" s="45" t="s">
        <v>134</v>
      </c>
      <c r="D58" s="45" t="s">
        <v>128</v>
      </c>
      <c r="E58" s="46">
        <v>790.0</v>
      </c>
      <c r="F58" s="54">
        <v>790.0</v>
      </c>
      <c r="G58" s="31">
        <v>45573.0</v>
      </c>
      <c r="H58" s="60"/>
    </row>
    <row r="59" ht="15.75" customHeight="1">
      <c r="A59" s="69"/>
      <c r="B59" s="69" t="s">
        <v>135</v>
      </c>
      <c r="C59" s="42" t="s">
        <v>127</v>
      </c>
      <c r="D59" s="42" t="s">
        <v>31</v>
      </c>
      <c r="E59" s="43">
        <v>970.0</v>
      </c>
      <c r="F59" s="44"/>
      <c r="G59" s="70">
        <v>45579.0</v>
      </c>
      <c r="H59" s="71"/>
    </row>
    <row r="60" ht="15.75" customHeight="1">
      <c r="A60" s="45"/>
      <c r="B60" s="45" t="s">
        <v>136</v>
      </c>
      <c r="C60" s="45" t="s">
        <v>137</v>
      </c>
      <c r="D60" s="45" t="s">
        <v>31</v>
      </c>
      <c r="E60" s="46">
        <v>4350.0</v>
      </c>
      <c r="F60" s="54">
        <v>4350.0</v>
      </c>
      <c r="G60" s="72">
        <v>45576.0</v>
      </c>
      <c r="H60" s="60"/>
    </row>
    <row r="61" ht="15.75" customHeight="1">
      <c r="A61" s="42"/>
      <c r="B61" s="42" t="s">
        <v>138</v>
      </c>
      <c r="C61" s="42" t="s">
        <v>94</v>
      </c>
      <c r="D61" s="42" t="s">
        <v>118</v>
      </c>
      <c r="E61" s="43">
        <v>1356.0</v>
      </c>
      <c r="F61" s="44"/>
      <c r="G61" s="70">
        <v>45581.0</v>
      </c>
      <c r="H61" s="42" t="s">
        <v>68</v>
      </c>
    </row>
    <row r="62" ht="15.75" customHeight="1">
      <c r="A62" s="45"/>
      <c r="B62" s="45" t="s">
        <v>139</v>
      </c>
      <c r="C62" s="45" t="s">
        <v>140</v>
      </c>
      <c r="D62" s="45" t="s">
        <v>113</v>
      </c>
      <c r="E62" s="46">
        <v>990.0</v>
      </c>
      <c r="F62" s="54">
        <v>990.0</v>
      </c>
      <c r="G62" s="72">
        <v>45578.0</v>
      </c>
      <c r="H62" s="45"/>
    </row>
    <row r="63" ht="15.75" customHeight="1">
      <c r="A63" s="69"/>
      <c r="B63" s="69" t="s">
        <v>141</v>
      </c>
      <c r="C63" s="42" t="s">
        <v>142</v>
      </c>
      <c r="D63" s="42" t="s">
        <v>15</v>
      </c>
      <c r="E63" s="43">
        <v>1378.0</v>
      </c>
      <c r="F63" s="44"/>
      <c r="G63" s="70">
        <v>45580.0</v>
      </c>
      <c r="H63" s="42" t="s">
        <v>143</v>
      </c>
    </row>
    <row r="64" ht="15.75" customHeight="1">
      <c r="A64" s="45"/>
      <c r="B64" s="45" t="s">
        <v>144</v>
      </c>
      <c r="C64" s="45" t="s">
        <v>145</v>
      </c>
      <c r="D64" s="45" t="s">
        <v>31</v>
      </c>
      <c r="E64" s="46">
        <v>3116.0</v>
      </c>
      <c r="F64" s="54">
        <v>3116.0</v>
      </c>
      <c r="G64" s="72">
        <v>45579.0</v>
      </c>
      <c r="H64" s="10"/>
    </row>
    <row r="65" ht="15.75" customHeight="1">
      <c r="A65" s="45"/>
      <c r="B65" s="45" t="s">
        <v>18</v>
      </c>
      <c r="C65" s="45" t="s">
        <v>146</v>
      </c>
      <c r="D65" s="45" t="s">
        <v>122</v>
      </c>
      <c r="E65" s="46">
        <v>1191.0</v>
      </c>
      <c r="F65" s="47">
        <v>1191.0</v>
      </c>
      <c r="G65" s="72">
        <v>45580.0</v>
      </c>
      <c r="H65" s="45" t="s">
        <v>147</v>
      </c>
    </row>
    <row r="66" ht="15.75" customHeight="1">
      <c r="A66" s="45"/>
      <c r="B66" s="45" t="s">
        <v>18</v>
      </c>
      <c r="C66" s="45" t="s">
        <v>148</v>
      </c>
      <c r="D66" s="45" t="s">
        <v>128</v>
      </c>
      <c r="E66" s="46">
        <v>1191.0</v>
      </c>
      <c r="F66" s="47">
        <v>1191.0</v>
      </c>
      <c r="G66" s="72">
        <v>45580.0</v>
      </c>
      <c r="H66" s="45" t="s">
        <v>149</v>
      </c>
    </row>
    <row r="67" ht="15.75" customHeight="1">
      <c r="A67" s="68"/>
      <c r="B67" s="68" t="s">
        <v>150</v>
      </c>
      <c r="C67" s="45" t="s">
        <v>127</v>
      </c>
      <c r="D67" s="45" t="s">
        <v>15</v>
      </c>
      <c r="E67" s="46">
        <v>1242.0</v>
      </c>
      <c r="F67" s="47">
        <v>1242.0</v>
      </c>
      <c r="G67" s="72">
        <v>45580.0</v>
      </c>
      <c r="H67" s="48"/>
    </row>
    <row r="68" ht="15.75" customHeight="1">
      <c r="A68" s="42"/>
      <c r="B68" s="42" t="s">
        <v>151</v>
      </c>
      <c r="C68" s="42" t="s">
        <v>152</v>
      </c>
      <c r="D68" s="42" t="s">
        <v>153</v>
      </c>
      <c r="E68" s="43">
        <v>1725.0</v>
      </c>
      <c r="F68" s="44"/>
      <c r="G68" s="70">
        <v>45582.0</v>
      </c>
      <c r="H68" s="42" t="s">
        <v>154</v>
      </c>
    </row>
    <row r="69" ht="15.75" customHeight="1">
      <c r="A69" s="45"/>
      <c r="B69" s="45" t="s">
        <v>155</v>
      </c>
      <c r="C69" s="45" t="s">
        <v>152</v>
      </c>
      <c r="D69" s="45" t="s">
        <v>118</v>
      </c>
      <c r="E69" s="46">
        <v>2155.0</v>
      </c>
      <c r="F69" s="54">
        <v>2155.0</v>
      </c>
      <c r="G69" s="72">
        <v>45582.0</v>
      </c>
      <c r="H69" s="48"/>
    </row>
    <row r="70" ht="15.75" customHeight="1">
      <c r="A70" s="45"/>
      <c r="B70" s="45" t="s">
        <v>156</v>
      </c>
      <c r="C70" s="45" t="s">
        <v>157</v>
      </c>
      <c r="D70" s="45" t="s">
        <v>15</v>
      </c>
      <c r="E70" s="46">
        <v>990.0</v>
      </c>
      <c r="F70" s="47">
        <v>990.0</v>
      </c>
      <c r="G70" s="72">
        <v>45586.0</v>
      </c>
      <c r="H70" s="10"/>
    </row>
    <row r="71" ht="15.75" customHeight="1">
      <c r="A71" s="45"/>
      <c r="B71" s="45" t="s">
        <v>156</v>
      </c>
      <c r="C71" s="45" t="s">
        <v>157</v>
      </c>
      <c r="D71" s="45" t="s">
        <v>122</v>
      </c>
      <c r="E71" s="46">
        <v>990.0</v>
      </c>
      <c r="F71" s="47">
        <v>990.0</v>
      </c>
      <c r="G71" s="72">
        <v>45586.0</v>
      </c>
      <c r="H71" s="60"/>
    </row>
    <row r="72" ht="15.75" customHeight="1">
      <c r="A72" s="45"/>
      <c r="B72" s="45" t="s">
        <v>156</v>
      </c>
      <c r="C72" s="45" t="s">
        <v>157</v>
      </c>
      <c r="D72" s="45" t="s">
        <v>128</v>
      </c>
      <c r="E72" s="46">
        <v>990.0</v>
      </c>
      <c r="F72" s="47">
        <v>990.0</v>
      </c>
      <c r="G72" s="72">
        <v>45586.0</v>
      </c>
      <c r="H72" s="10"/>
    </row>
    <row r="73" ht="15.75" customHeight="1">
      <c r="A73" s="45"/>
      <c r="B73" s="45" t="s">
        <v>158</v>
      </c>
      <c r="C73" s="45" t="s">
        <v>159</v>
      </c>
      <c r="D73" s="45" t="s">
        <v>113</v>
      </c>
      <c r="E73" s="46">
        <v>3204.0</v>
      </c>
      <c r="F73" s="54">
        <v>3204.0</v>
      </c>
      <c r="G73" s="72">
        <v>45585.0</v>
      </c>
      <c r="H73" s="48"/>
    </row>
    <row r="74" ht="15.75" customHeight="1">
      <c r="A74" s="45"/>
      <c r="B74" s="45" t="s">
        <v>160</v>
      </c>
      <c r="C74" s="45" t="s">
        <v>55</v>
      </c>
      <c r="D74" s="45" t="s">
        <v>153</v>
      </c>
      <c r="E74" s="46">
        <v>1760.0</v>
      </c>
      <c r="F74" s="47">
        <v>1760.0</v>
      </c>
      <c r="G74" s="72">
        <v>45587.0</v>
      </c>
      <c r="H74" s="45" t="s">
        <v>161</v>
      </c>
    </row>
    <row r="75" ht="15.75" customHeight="1">
      <c r="A75" s="45"/>
      <c r="B75" s="45" t="s">
        <v>162</v>
      </c>
      <c r="C75" s="45" t="s">
        <v>35</v>
      </c>
      <c r="D75" s="45" t="s">
        <v>153</v>
      </c>
      <c r="E75" s="46">
        <v>990.0</v>
      </c>
      <c r="F75" s="54">
        <v>990.0</v>
      </c>
      <c r="G75" s="72">
        <v>45587.0</v>
      </c>
      <c r="H75" s="60"/>
    </row>
    <row r="76" ht="15.75" customHeight="1">
      <c r="A76" s="45"/>
      <c r="B76" s="45" t="s">
        <v>163</v>
      </c>
      <c r="C76" s="45" t="s">
        <v>164</v>
      </c>
      <c r="D76" s="45" t="s">
        <v>113</v>
      </c>
      <c r="E76" s="46">
        <v>990.0</v>
      </c>
      <c r="F76" s="54">
        <v>990.0</v>
      </c>
      <c r="G76" s="72">
        <v>45587.0</v>
      </c>
      <c r="H76" s="48"/>
    </row>
    <row r="77" ht="15.75" customHeight="1">
      <c r="A77" s="68"/>
      <c r="B77" s="73" t="s">
        <v>165</v>
      </c>
      <c r="C77" s="45" t="s">
        <v>166</v>
      </c>
      <c r="D77" s="45" t="s">
        <v>167</v>
      </c>
      <c r="E77" s="46">
        <v>365.0</v>
      </c>
      <c r="F77" s="47">
        <v>365.0</v>
      </c>
      <c r="G77" s="72">
        <v>45587.0</v>
      </c>
      <c r="H77" s="60"/>
    </row>
    <row r="78" ht="15.75" customHeight="1">
      <c r="A78" s="45"/>
      <c r="B78" s="45" t="s">
        <v>168</v>
      </c>
      <c r="C78" s="45" t="s">
        <v>35</v>
      </c>
      <c r="D78" s="45" t="s">
        <v>118</v>
      </c>
      <c r="E78" s="46">
        <v>1027.0</v>
      </c>
      <c r="F78" s="54">
        <v>1027.0</v>
      </c>
      <c r="G78" s="72">
        <v>45588.0</v>
      </c>
      <c r="H78" s="10"/>
    </row>
    <row r="79" ht="15.75" customHeight="1">
      <c r="A79" s="45"/>
      <c r="B79" s="45" t="s">
        <v>169</v>
      </c>
      <c r="C79" s="45" t="s">
        <v>170</v>
      </c>
      <c r="D79" s="45" t="s">
        <v>128</v>
      </c>
      <c r="E79" s="46">
        <v>999.0</v>
      </c>
      <c r="F79" s="54">
        <v>999.0</v>
      </c>
      <c r="G79" s="72">
        <v>45588.0</v>
      </c>
      <c r="H79" s="60"/>
    </row>
    <row r="80" ht="15.75" customHeight="1">
      <c r="A80" s="45"/>
      <c r="B80" s="45" t="s">
        <v>171</v>
      </c>
      <c r="C80" s="45" t="s">
        <v>172</v>
      </c>
      <c r="D80" s="45" t="s">
        <v>118</v>
      </c>
      <c r="E80" s="46">
        <v>13464.0</v>
      </c>
      <c r="F80" s="54">
        <v>13464.0</v>
      </c>
      <c r="G80" s="72">
        <v>45590.0</v>
      </c>
      <c r="H80" s="10"/>
    </row>
    <row r="81" ht="15.75" customHeight="1">
      <c r="A81" s="48"/>
      <c r="B81" s="48"/>
      <c r="C81" s="48"/>
      <c r="D81" s="45" t="s">
        <v>153</v>
      </c>
      <c r="E81" s="74"/>
      <c r="F81" s="75"/>
      <c r="G81" s="40"/>
      <c r="H81" s="10"/>
    </row>
    <row r="82" ht="15.75" customHeight="1">
      <c r="A82" s="45"/>
      <c r="B82" s="45" t="s">
        <v>173</v>
      </c>
      <c r="C82" s="45" t="s">
        <v>174</v>
      </c>
      <c r="D82" s="45" t="s">
        <v>175</v>
      </c>
      <c r="E82" s="46">
        <v>3045.0</v>
      </c>
      <c r="F82" s="54">
        <v>3045.0</v>
      </c>
      <c r="G82" s="72">
        <v>45590.0</v>
      </c>
      <c r="H82" s="48"/>
    </row>
    <row r="83" ht="15.75" customHeight="1">
      <c r="A83" s="42"/>
      <c r="B83" s="42" t="s">
        <v>176</v>
      </c>
      <c r="C83" s="42" t="s">
        <v>177</v>
      </c>
      <c r="D83" s="42" t="s">
        <v>175</v>
      </c>
      <c r="E83" s="43">
        <v>1275.0</v>
      </c>
      <c r="F83" s="26"/>
      <c r="G83" s="70">
        <v>45590.0</v>
      </c>
      <c r="H83" s="42" t="s">
        <v>32</v>
      </c>
    </row>
    <row r="84" ht="15.75" customHeight="1">
      <c r="A84" s="42"/>
      <c r="B84" s="42" t="s">
        <v>178</v>
      </c>
      <c r="C84" s="42" t="s">
        <v>127</v>
      </c>
      <c r="D84" s="42" t="s">
        <v>175</v>
      </c>
      <c r="E84" s="43">
        <v>1210.0</v>
      </c>
      <c r="F84" s="26"/>
      <c r="G84" s="70">
        <v>45593.0</v>
      </c>
      <c r="H84" s="42" t="s">
        <v>32</v>
      </c>
    </row>
    <row r="85" ht="15.75" customHeight="1">
      <c r="A85" s="42"/>
      <c r="B85" s="42" t="s">
        <v>179</v>
      </c>
      <c r="C85" s="42" t="s">
        <v>180</v>
      </c>
      <c r="D85" s="42" t="s">
        <v>122</v>
      </c>
      <c r="E85" s="43">
        <v>908.0</v>
      </c>
      <c r="F85" s="44"/>
      <c r="G85" s="70">
        <v>45595.0</v>
      </c>
      <c r="H85" s="42" t="s">
        <v>181</v>
      </c>
    </row>
    <row r="86" ht="15.75" customHeight="1">
      <c r="A86" s="45"/>
      <c r="B86" s="45" t="s">
        <v>182</v>
      </c>
      <c r="C86" s="45" t="s">
        <v>140</v>
      </c>
      <c r="D86" s="45" t="s">
        <v>128</v>
      </c>
      <c r="E86" s="46">
        <v>1222.0</v>
      </c>
      <c r="F86" s="54">
        <v>1222.0</v>
      </c>
      <c r="G86" s="72">
        <v>45594.0</v>
      </c>
      <c r="H86" s="10"/>
    </row>
    <row r="87" ht="15.75" customHeight="1">
      <c r="A87" s="45"/>
      <c r="B87" s="45" t="s">
        <v>183</v>
      </c>
      <c r="C87" s="45" t="s">
        <v>184</v>
      </c>
      <c r="D87" s="45" t="s">
        <v>185</v>
      </c>
      <c r="E87" s="46">
        <v>6235.0</v>
      </c>
      <c r="F87" s="54">
        <v>6235.0</v>
      </c>
      <c r="G87" s="72">
        <v>45596.0</v>
      </c>
      <c r="H87" s="45" t="s">
        <v>186</v>
      </c>
    </row>
    <row r="88" ht="15.75" customHeight="1">
      <c r="A88" s="42"/>
      <c r="B88" s="42" t="s">
        <v>178</v>
      </c>
      <c r="C88" s="42" t="s">
        <v>127</v>
      </c>
      <c r="D88" s="42" t="s">
        <v>118</v>
      </c>
      <c r="E88" s="43">
        <v>1312.0</v>
      </c>
      <c r="F88" s="26"/>
      <c r="G88" s="70">
        <v>45596.0</v>
      </c>
      <c r="H88" s="42" t="s">
        <v>187</v>
      </c>
    </row>
    <row r="89" ht="15.75" customHeight="1">
      <c r="A89" s="42"/>
      <c r="B89" s="42" t="s">
        <v>188</v>
      </c>
      <c r="C89" s="42" t="s">
        <v>189</v>
      </c>
      <c r="D89" s="42" t="s">
        <v>113</v>
      </c>
      <c r="E89" s="43">
        <v>790.0</v>
      </c>
      <c r="F89" s="44"/>
      <c r="G89" s="27">
        <v>45597.0</v>
      </c>
      <c r="H89" s="42" t="s">
        <v>190</v>
      </c>
    </row>
    <row r="90" ht="15.75" customHeight="1">
      <c r="A90" s="45"/>
      <c r="B90" s="45" t="s">
        <v>191</v>
      </c>
      <c r="C90" s="45" t="s">
        <v>192</v>
      </c>
      <c r="D90" s="45" t="s">
        <v>167</v>
      </c>
      <c r="E90" s="46">
        <v>860.0</v>
      </c>
      <c r="F90" s="54">
        <v>860.0</v>
      </c>
      <c r="G90" s="31">
        <v>45597.0</v>
      </c>
      <c r="H90" s="45" t="s">
        <v>193</v>
      </c>
    </row>
    <row r="91" ht="15.75" customHeight="1">
      <c r="A91" s="45"/>
      <c r="B91" s="45" t="s">
        <v>194</v>
      </c>
      <c r="C91" s="45" t="s">
        <v>195</v>
      </c>
      <c r="D91" s="45" t="s">
        <v>153</v>
      </c>
      <c r="E91" s="46">
        <v>1828.0</v>
      </c>
      <c r="F91" s="47">
        <v>1828.0</v>
      </c>
      <c r="G91" s="31">
        <v>45598.0</v>
      </c>
      <c r="H91" s="45" t="s">
        <v>196</v>
      </c>
    </row>
    <row r="92" ht="15.75" customHeight="1">
      <c r="A92" s="45"/>
      <c r="B92" s="45" t="s">
        <v>197</v>
      </c>
      <c r="C92" s="45" t="s">
        <v>140</v>
      </c>
      <c r="D92" s="45" t="s">
        <v>198</v>
      </c>
      <c r="E92" s="46">
        <v>990.0</v>
      </c>
      <c r="F92" s="46">
        <v>990.0</v>
      </c>
      <c r="G92" s="31">
        <v>45597.0</v>
      </c>
      <c r="H92" s="48"/>
    </row>
    <row r="93" ht="15.75" customHeight="1">
      <c r="A93" s="45"/>
      <c r="B93" s="45" t="s">
        <v>199</v>
      </c>
      <c r="C93" s="45" t="s">
        <v>140</v>
      </c>
      <c r="D93" s="45" t="s">
        <v>118</v>
      </c>
      <c r="E93" s="46">
        <v>800.0</v>
      </c>
      <c r="F93" s="47">
        <v>800.0</v>
      </c>
      <c r="G93" s="31">
        <v>45597.0</v>
      </c>
      <c r="H93" s="48"/>
    </row>
    <row r="94" ht="15.75" customHeight="1">
      <c r="A94" s="45"/>
      <c r="B94" s="45" t="s">
        <v>200</v>
      </c>
      <c r="C94" s="45" t="s">
        <v>140</v>
      </c>
      <c r="D94" s="45" t="s">
        <v>153</v>
      </c>
      <c r="E94" s="46">
        <v>580.0</v>
      </c>
      <c r="F94" s="47">
        <v>580.0</v>
      </c>
      <c r="G94" s="31">
        <v>45597.0</v>
      </c>
      <c r="H94" s="48"/>
    </row>
    <row r="95" ht="15.75" customHeight="1">
      <c r="A95" s="45"/>
      <c r="B95" s="45" t="s">
        <v>201</v>
      </c>
      <c r="C95" s="45" t="s">
        <v>140</v>
      </c>
      <c r="D95" s="45" t="s">
        <v>122</v>
      </c>
      <c r="E95" s="46">
        <v>780.0</v>
      </c>
      <c r="F95" s="47">
        <v>780.0</v>
      </c>
      <c r="G95" s="40"/>
      <c r="H95" s="48"/>
    </row>
    <row r="96" ht="15.75" customHeight="1">
      <c r="A96" s="45"/>
      <c r="B96" s="45" t="s">
        <v>202</v>
      </c>
      <c r="C96" s="45" t="s">
        <v>203</v>
      </c>
      <c r="D96" s="45" t="s">
        <v>27</v>
      </c>
      <c r="E96" s="46">
        <v>6834.0</v>
      </c>
      <c r="F96" s="47">
        <v>3612.0</v>
      </c>
      <c r="G96" s="31">
        <v>45600.0</v>
      </c>
      <c r="H96" s="45" t="s">
        <v>204</v>
      </c>
      <c r="I96" s="56"/>
      <c r="J96" s="56"/>
    </row>
    <row r="97" ht="15.75" customHeight="1">
      <c r="A97" s="45"/>
      <c r="B97" s="45" t="s">
        <v>205</v>
      </c>
      <c r="C97" s="45" t="s">
        <v>206</v>
      </c>
      <c r="D97" s="45" t="s">
        <v>175</v>
      </c>
      <c r="E97" s="46">
        <v>515.0</v>
      </c>
      <c r="F97" s="47">
        <v>515.0</v>
      </c>
      <c r="G97" s="31">
        <v>45599.0</v>
      </c>
      <c r="H97" s="48"/>
    </row>
    <row r="98" ht="15.75" customHeight="1">
      <c r="A98" s="69"/>
      <c r="B98" s="69" t="s">
        <v>207</v>
      </c>
      <c r="C98" s="42" t="s">
        <v>127</v>
      </c>
      <c r="D98" s="42" t="s">
        <v>185</v>
      </c>
      <c r="E98" s="43">
        <v>1860.0</v>
      </c>
      <c r="F98" s="44"/>
      <c r="G98" s="27">
        <v>45602.0</v>
      </c>
      <c r="H98" s="42" t="s">
        <v>190</v>
      </c>
    </row>
    <row r="99" ht="15.75" customHeight="1">
      <c r="A99" s="45"/>
      <c r="B99" s="45" t="s">
        <v>208</v>
      </c>
      <c r="C99" s="45" t="s">
        <v>209</v>
      </c>
      <c r="D99" s="45" t="s">
        <v>167</v>
      </c>
      <c r="E99" s="46">
        <v>1328.0</v>
      </c>
      <c r="F99" s="47">
        <v>1328.0</v>
      </c>
      <c r="G99" s="31">
        <v>45603.0</v>
      </c>
      <c r="H99" s="45" t="s">
        <v>210</v>
      </c>
    </row>
    <row r="100" ht="15.75" customHeight="1">
      <c r="A100" s="45"/>
      <c r="B100" s="45" t="s">
        <v>211</v>
      </c>
      <c r="C100" s="45" t="s">
        <v>124</v>
      </c>
      <c r="D100" s="45" t="s">
        <v>118</v>
      </c>
      <c r="E100" s="46">
        <v>5670.0</v>
      </c>
      <c r="F100" s="54">
        <v>5670.0</v>
      </c>
      <c r="G100" s="31">
        <v>45605.0</v>
      </c>
      <c r="H100" s="45" t="s">
        <v>212</v>
      </c>
    </row>
    <row r="101" ht="15.75" customHeight="1">
      <c r="A101" s="45"/>
      <c r="B101" s="45" t="s">
        <v>213</v>
      </c>
      <c r="C101" s="45" t="s">
        <v>209</v>
      </c>
      <c r="D101" s="45" t="s">
        <v>118</v>
      </c>
      <c r="E101" s="46">
        <v>1552.0</v>
      </c>
      <c r="F101" s="54">
        <v>1552.0</v>
      </c>
      <c r="G101" s="31">
        <v>45605.0</v>
      </c>
      <c r="H101" s="45" t="s">
        <v>114</v>
      </c>
    </row>
    <row r="102" ht="15.75" customHeight="1">
      <c r="A102" s="45"/>
      <c r="B102" s="45" t="s">
        <v>214</v>
      </c>
      <c r="C102" s="45" t="s">
        <v>215</v>
      </c>
      <c r="D102" s="45" t="s">
        <v>175</v>
      </c>
      <c r="E102" s="46">
        <v>3116.0</v>
      </c>
      <c r="F102" s="54">
        <v>3116.0</v>
      </c>
      <c r="G102" s="31">
        <v>45605.0</v>
      </c>
      <c r="H102" s="45" t="s">
        <v>114</v>
      </c>
    </row>
    <row r="103" ht="15.75" customHeight="1">
      <c r="A103" s="42"/>
      <c r="B103" s="42" t="s">
        <v>216</v>
      </c>
      <c r="C103" s="42" t="s">
        <v>217</v>
      </c>
      <c r="D103" s="42" t="s">
        <v>118</v>
      </c>
      <c r="E103" s="43">
        <v>3853.0</v>
      </c>
      <c r="F103" s="44"/>
      <c r="G103" s="70">
        <v>45616.0</v>
      </c>
      <c r="H103" s="42" t="s">
        <v>68</v>
      </c>
    </row>
    <row r="104" ht="15.75" customHeight="1">
      <c r="A104" s="42"/>
      <c r="B104" s="42" t="s">
        <v>218</v>
      </c>
      <c r="C104" s="42" t="s">
        <v>219</v>
      </c>
      <c r="D104" s="42" t="s">
        <v>122</v>
      </c>
      <c r="E104" s="43">
        <v>5933.0</v>
      </c>
      <c r="F104" s="26"/>
      <c r="G104" s="70">
        <v>45606.0</v>
      </c>
      <c r="H104" s="42" t="s">
        <v>68</v>
      </c>
    </row>
    <row r="105" ht="15.75" customHeight="1">
      <c r="A105" s="42"/>
      <c r="B105" s="42" t="s">
        <v>220</v>
      </c>
      <c r="C105" s="42" t="s">
        <v>221</v>
      </c>
      <c r="D105" s="42" t="s">
        <v>128</v>
      </c>
      <c r="E105" s="43">
        <v>2795.0</v>
      </c>
      <c r="F105" s="44"/>
      <c r="G105" s="70">
        <v>45607.0</v>
      </c>
      <c r="H105" s="42" t="s">
        <v>222</v>
      </c>
    </row>
    <row r="106" ht="15.75" customHeight="1">
      <c r="A106" s="45"/>
      <c r="B106" s="45" t="s">
        <v>223</v>
      </c>
      <c r="C106" s="45" t="s">
        <v>224</v>
      </c>
      <c r="D106" s="45" t="s">
        <v>153</v>
      </c>
      <c r="E106" s="46">
        <v>315.0</v>
      </c>
      <c r="F106" s="47">
        <v>315.0</v>
      </c>
      <c r="G106" s="72">
        <v>45606.0</v>
      </c>
      <c r="H106" s="45" t="s">
        <v>225</v>
      </c>
    </row>
    <row r="107" ht="15.75" customHeight="1">
      <c r="A107" s="45"/>
      <c r="B107" s="45" t="s">
        <v>226</v>
      </c>
      <c r="C107" s="45" t="s">
        <v>227</v>
      </c>
      <c r="D107" s="45" t="s">
        <v>122</v>
      </c>
      <c r="E107" s="46">
        <v>1690.0</v>
      </c>
      <c r="F107" s="47">
        <v>1690.0</v>
      </c>
      <c r="G107" s="72">
        <v>45607.0</v>
      </c>
      <c r="H107" s="45" t="s">
        <v>114</v>
      </c>
    </row>
    <row r="108" ht="15.75" customHeight="1">
      <c r="A108" s="45"/>
      <c r="B108" s="45" t="s">
        <v>228</v>
      </c>
      <c r="C108" s="45" t="s">
        <v>229</v>
      </c>
      <c r="D108" s="45" t="s">
        <v>118</v>
      </c>
      <c r="E108" s="46">
        <v>11059.0</v>
      </c>
      <c r="F108" s="54">
        <v>11059.0</v>
      </c>
      <c r="G108" s="72">
        <v>45611.0</v>
      </c>
      <c r="H108" s="45" t="s">
        <v>230</v>
      </c>
    </row>
    <row r="109" ht="15.75" customHeight="1">
      <c r="A109" s="45"/>
      <c r="B109" s="45" t="s">
        <v>231</v>
      </c>
      <c r="C109" s="45" t="s">
        <v>229</v>
      </c>
      <c r="D109" s="45" t="s">
        <v>167</v>
      </c>
      <c r="E109" s="46">
        <v>8608.0</v>
      </c>
      <c r="F109" s="54">
        <v>8608.0</v>
      </c>
      <c r="G109" s="72">
        <v>45611.0</v>
      </c>
      <c r="H109" s="48"/>
    </row>
    <row r="110" ht="15.75" customHeight="1">
      <c r="A110" s="45"/>
      <c r="B110" s="45" t="s">
        <v>232</v>
      </c>
      <c r="C110" s="45" t="s">
        <v>233</v>
      </c>
      <c r="D110" s="45" t="s">
        <v>185</v>
      </c>
      <c r="E110" s="46">
        <v>3232.0</v>
      </c>
      <c r="F110" s="47">
        <v>3232.0</v>
      </c>
      <c r="G110" s="72">
        <v>45613.0</v>
      </c>
      <c r="H110" s="45" t="s">
        <v>114</v>
      </c>
    </row>
    <row r="111" ht="15.75" customHeight="1">
      <c r="A111" s="45"/>
      <c r="B111" s="45" t="s">
        <v>234</v>
      </c>
      <c r="C111" s="45" t="s">
        <v>217</v>
      </c>
      <c r="D111" s="45" t="s">
        <v>113</v>
      </c>
      <c r="E111" s="46">
        <v>3656.0</v>
      </c>
      <c r="F111" s="54">
        <v>3656.0</v>
      </c>
      <c r="G111" s="72">
        <v>45614.0</v>
      </c>
      <c r="H111" s="45" t="s">
        <v>114</v>
      </c>
    </row>
    <row r="112" ht="15.75" customHeight="1">
      <c r="A112" s="48"/>
      <c r="B112" s="48"/>
      <c r="C112" s="45" t="s">
        <v>235</v>
      </c>
      <c r="D112" s="45" t="s">
        <v>153</v>
      </c>
      <c r="E112" s="74"/>
      <c r="F112" s="75"/>
      <c r="G112" s="40"/>
      <c r="H112" s="48"/>
    </row>
    <row r="113" ht="15.75" customHeight="1">
      <c r="A113" s="45"/>
      <c r="B113" s="45" t="s">
        <v>236</v>
      </c>
      <c r="C113" s="45" t="s">
        <v>237</v>
      </c>
      <c r="D113" s="45" t="s">
        <v>113</v>
      </c>
      <c r="E113" s="46">
        <v>5607.0</v>
      </c>
      <c r="F113" s="47">
        <v>5607.0</v>
      </c>
      <c r="G113" s="72">
        <v>45628.0</v>
      </c>
      <c r="H113" s="48"/>
    </row>
    <row r="114" ht="15.75" customHeight="1">
      <c r="A114" s="45"/>
      <c r="B114" s="45" t="s">
        <v>238</v>
      </c>
      <c r="C114" s="45" t="s">
        <v>239</v>
      </c>
      <c r="D114" s="45" t="s">
        <v>167</v>
      </c>
      <c r="E114" s="46">
        <v>3127.0</v>
      </c>
      <c r="F114" s="47">
        <v>3127.0</v>
      </c>
      <c r="G114" s="72">
        <v>45619.0</v>
      </c>
      <c r="H114" s="45" t="s">
        <v>240</v>
      </c>
    </row>
    <row r="115" ht="15.75" customHeight="1">
      <c r="A115" s="42"/>
      <c r="B115" s="42" t="s">
        <v>178</v>
      </c>
      <c r="C115" s="42" t="s">
        <v>170</v>
      </c>
      <c r="D115" s="42" t="s">
        <v>122</v>
      </c>
      <c r="E115" s="43">
        <v>963.0</v>
      </c>
      <c r="F115" s="44"/>
      <c r="G115" s="70">
        <v>45623.0</v>
      </c>
      <c r="H115" s="42" t="s">
        <v>114</v>
      </c>
    </row>
    <row r="116" ht="15.75" customHeight="1">
      <c r="A116" s="45"/>
      <c r="B116" s="45" t="s">
        <v>241</v>
      </c>
      <c r="C116" s="45" t="s">
        <v>242</v>
      </c>
      <c r="D116" s="45" t="s">
        <v>175</v>
      </c>
      <c r="E116" s="46">
        <v>7899.0</v>
      </c>
      <c r="F116" s="47">
        <v>7899.0</v>
      </c>
      <c r="G116" s="72">
        <v>45623.0</v>
      </c>
      <c r="H116" s="60"/>
    </row>
    <row r="117" ht="15.75" customHeight="1">
      <c r="A117" s="45"/>
      <c r="B117" s="45" t="s">
        <v>243</v>
      </c>
      <c r="C117" s="45" t="s">
        <v>244</v>
      </c>
      <c r="D117" s="45" t="s">
        <v>167</v>
      </c>
      <c r="E117" s="46">
        <v>2340.0</v>
      </c>
      <c r="F117" s="47">
        <v>2340.0</v>
      </c>
      <c r="G117" s="72">
        <v>45625.0</v>
      </c>
      <c r="H117" s="45" t="s">
        <v>245</v>
      </c>
    </row>
    <row r="118" ht="15.75" customHeight="1">
      <c r="A118" s="45"/>
      <c r="B118" s="45" t="s">
        <v>246</v>
      </c>
      <c r="C118" s="45" t="s">
        <v>247</v>
      </c>
      <c r="D118" s="45" t="s">
        <v>118</v>
      </c>
      <c r="E118" s="46">
        <v>5072.0</v>
      </c>
      <c r="F118" s="54">
        <v>5072.0</v>
      </c>
      <c r="G118" s="72">
        <v>45626.0</v>
      </c>
      <c r="H118" s="45" t="s">
        <v>248</v>
      </c>
    </row>
    <row r="119" ht="15.75" customHeight="1">
      <c r="A119" s="45"/>
      <c r="B119" s="45" t="s">
        <v>249</v>
      </c>
      <c r="C119" s="45" t="s">
        <v>250</v>
      </c>
      <c r="D119" s="45" t="s">
        <v>118</v>
      </c>
      <c r="E119" s="46">
        <v>4800.0</v>
      </c>
      <c r="F119" s="47">
        <v>4800.0</v>
      </c>
      <c r="G119" s="72">
        <v>45639.0</v>
      </c>
      <c r="H119" s="45" t="s">
        <v>251</v>
      </c>
    </row>
    <row r="120" ht="15.75" customHeight="1">
      <c r="A120" s="45"/>
      <c r="B120" s="45" t="s">
        <v>252</v>
      </c>
      <c r="C120" s="45" t="s">
        <v>253</v>
      </c>
      <c r="D120" s="45" t="s">
        <v>118</v>
      </c>
      <c r="E120" s="46">
        <v>3546.0</v>
      </c>
      <c r="F120" s="54">
        <v>3546.0</v>
      </c>
      <c r="G120" s="31">
        <v>45629.0</v>
      </c>
      <c r="H120" s="45" t="s">
        <v>254</v>
      </c>
    </row>
    <row r="121" ht="15.75" customHeight="1">
      <c r="A121" s="68"/>
      <c r="B121" s="68" t="s">
        <v>255</v>
      </c>
      <c r="C121" s="45" t="s">
        <v>256</v>
      </c>
      <c r="D121" s="45" t="s">
        <v>257</v>
      </c>
      <c r="E121" s="46">
        <v>1167.0</v>
      </c>
      <c r="F121" s="47">
        <v>1167.0</v>
      </c>
      <c r="G121" s="31">
        <v>45629.0</v>
      </c>
      <c r="H121" s="48"/>
    </row>
    <row r="122" ht="15.75" customHeight="1">
      <c r="A122" s="45"/>
      <c r="B122" s="45" t="s">
        <v>258</v>
      </c>
      <c r="C122" s="45" t="s">
        <v>259</v>
      </c>
      <c r="D122" s="45" t="s">
        <v>122</v>
      </c>
      <c r="E122" s="46">
        <v>1099.0</v>
      </c>
      <c r="F122" s="47">
        <v>1099.0</v>
      </c>
      <c r="G122" s="31">
        <v>45629.0</v>
      </c>
      <c r="H122" s="48"/>
    </row>
    <row r="123" ht="15.75" customHeight="1">
      <c r="A123" s="45"/>
      <c r="B123" s="45" t="s">
        <v>260</v>
      </c>
      <c r="C123" s="45" t="s">
        <v>261</v>
      </c>
      <c r="D123" s="45" t="s">
        <v>185</v>
      </c>
      <c r="E123" s="46">
        <v>5103.0</v>
      </c>
      <c r="F123" s="47">
        <v>5103.0</v>
      </c>
      <c r="G123" s="31">
        <v>45630.0</v>
      </c>
      <c r="H123" s="60"/>
    </row>
    <row r="124" ht="15.75" customHeight="1">
      <c r="A124" s="45"/>
      <c r="B124" s="45" t="s">
        <v>262</v>
      </c>
      <c r="C124" s="45" t="s">
        <v>263</v>
      </c>
      <c r="D124" s="45" t="s">
        <v>113</v>
      </c>
      <c r="E124" s="46">
        <v>5100.0</v>
      </c>
      <c r="F124" s="54">
        <v>5100.0</v>
      </c>
      <c r="G124" s="31">
        <v>45632.0</v>
      </c>
      <c r="H124" s="45" t="s">
        <v>264</v>
      </c>
    </row>
    <row r="125" ht="15.75" customHeight="1">
      <c r="A125" s="45"/>
      <c r="B125" s="45" t="s">
        <v>265</v>
      </c>
      <c r="C125" s="45" t="s">
        <v>266</v>
      </c>
      <c r="D125" s="45" t="s">
        <v>167</v>
      </c>
      <c r="E125" s="46">
        <v>1776.0</v>
      </c>
      <c r="F125" s="47">
        <v>1776.0</v>
      </c>
      <c r="G125" s="31">
        <v>45632.0</v>
      </c>
      <c r="H125" s="45" t="s">
        <v>267</v>
      </c>
    </row>
    <row r="126" ht="15.75" customHeight="1">
      <c r="A126" s="45"/>
      <c r="B126" s="45" t="s">
        <v>268</v>
      </c>
      <c r="C126" s="45" t="s">
        <v>269</v>
      </c>
      <c r="D126" s="45" t="s">
        <v>122</v>
      </c>
      <c r="E126" s="46">
        <v>5376.0</v>
      </c>
      <c r="F126" s="54">
        <v>5376.0</v>
      </c>
      <c r="G126" s="31">
        <v>45635.0</v>
      </c>
      <c r="H126" s="45" t="s">
        <v>270</v>
      </c>
    </row>
    <row r="127" ht="15.75" customHeight="1">
      <c r="A127" s="45"/>
      <c r="B127" s="45" t="s">
        <v>271</v>
      </c>
      <c r="C127" s="45" t="s">
        <v>272</v>
      </c>
      <c r="D127" s="45" t="s">
        <v>128</v>
      </c>
      <c r="E127" s="46">
        <v>6228.0</v>
      </c>
      <c r="F127" s="54">
        <v>6228.0</v>
      </c>
      <c r="G127" s="31">
        <v>45635.0</v>
      </c>
      <c r="H127" s="76"/>
    </row>
    <row r="128" ht="15.75" customHeight="1">
      <c r="A128" s="45"/>
      <c r="B128" s="45" t="s">
        <v>273</v>
      </c>
      <c r="C128" s="45" t="s">
        <v>274</v>
      </c>
      <c r="D128" s="45" t="s">
        <v>175</v>
      </c>
      <c r="E128" s="46">
        <v>455.0</v>
      </c>
      <c r="F128" s="47">
        <v>455.0</v>
      </c>
      <c r="G128" s="31">
        <v>45635.0</v>
      </c>
      <c r="H128" s="45" t="s">
        <v>114</v>
      </c>
    </row>
    <row r="129" ht="15.75" customHeight="1">
      <c r="A129" s="45"/>
      <c r="B129" s="45" t="s">
        <v>275</v>
      </c>
      <c r="C129" s="45" t="s">
        <v>276</v>
      </c>
      <c r="D129" s="45" t="s">
        <v>277</v>
      </c>
      <c r="E129" s="46">
        <v>7200.0</v>
      </c>
      <c r="F129" s="47">
        <v>7200.0</v>
      </c>
      <c r="G129" s="72">
        <v>45637.0</v>
      </c>
      <c r="H129" s="45" t="s">
        <v>278</v>
      </c>
    </row>
    <row r="130" ht="15.75" customHeight="1">
      <c r="A130" s="45"/>
      <c r="B130" s="45" t="s">
        <v>279</v>
      </c>
      <c r="C130" s="45" t="s">
        <v>280</v>
      </c>
      <c r="D130" s="45" t="s">
        <v>113</v>
      </c>
      <c r="E130" s="46">
        <v>2403.0</v>
      </c>
      <c r="F130" s="54">
        <v>2403.0</v>
      </c>
      <c r="G130" s="72">
        <v>45641.0</v>
      </c>
      <c r="H130" s="77" t="s">
        <v>281</v>
      </c>
    </row>
    <row r="131" ht="15.75" customHeight="1">
      <c r="A131" s="45"/>
      <c r="B131" s="45" t="s">
        <v>282</v>
      </c>
      <c r="C131" s="45" t="s">
        <v>283</v>
      </c>
      <c r="D131" s="45" t="s">
        <v>118</v>
      </c>
      <c r="E131" s="46">
        <v>1354.0</v>
      </c>
      <c r="F131" s="47">
        <v>1354.0</v>
      </c>
      <c r="G131" s="72">
        <v>45640.0</v>
      </c>
      <c r="H131" s="45" t="s">
        <v>114</v>
      </c>
    </row>
    <row r="132" ht="15.75" customHeight="1">
      <c r="A132" s="42"/>
      <c r="B132" s="42" t="s">
        <v>284</v>
      </c>
      <c r="C132" s="42" t="s">
        <v>285</v>
      </c>
      <c r="D132" s="42" t="s">
        <v>113</v>
      </c>
      <c r="E132" s="43">
        <v>725.0</v>
      </c>
      <c r="F132" s="44"/>
      <c r="G132" s="70">
        <v>45643.0</v>
      </c>
      <c r="H132" s="42" t="s">
        <v>286</v>
      </c>
    </row>
    <row r="133" ht="15.75" customHeight="1">
      <c r="A133" s="45"/>
      <c r="B133" s="45" t="s">
        <v>287</v>
      </c>
      <c r="C133" s="45" t="s">
        <v>288</v>
      </c>
      <c r="D133" s="45" t="s">
        <v>153</v>
      </c>
      <c r="E133" s="46">
        <v>1558.0</v>
      </c>
      <c r="F133" s="54">
        <v>1558.0</v>
      </c>
      <c r="G133" s="72">
        <v>45645.0</v>
      </c>
      <c r="H133" s="45" t="s">
        <v>114</v>
      </c>
    </row>
    <row r="134" ht="15.75" customHeight="1">
      <c r="A134" s="42"/>
      <c r="B134" s="42" t="s">
        <v>289</v>
      </c>
      <c r="C134" s="42" t="s">
        <v>290</v>
      </c>
      <c r="D134" s="42" t="s">
        <v>185</v>
      </c>
      <c r="E134" s="43">
        <v>2000.0</v>
      </c>
      <c r="F134" s="44"/>
      <c r="G134" s="70">
        <v>45645.0</v>
      </c>
      <c r="H134" s="42" t="s">
        <v>254</v>
      </c>
    </row>
    <row r="135" ht="15.75" customHeight="1">
      <c r="A135" s="45"/>
      <c r="B135" s="45" t="s">
        <v>291</v>
      </c>
      <c r="C135" s="45" t="s">
        <v>292</v>
      </c>
      <c r="D135" s="45" t="s">
        <v>185</v>
      </c>
      <c r="E135" s="57">
        <v>5880.0</v>
      </c>
      <c r="F135" s="54">
        <v>5880.0</v>
      </c>
      <c r="G135" s="72">
        <v>45648.0</v>
      </c>
      <c r="H135" s="45" t="s">
        <v>293</v>
      </c>
    </row>
    <row r="136" ht="15.75" customHeight="1">
      <c r="A136" s="45"/>
      <c r="B136" s="45" t="s">
        <v>294</v>
      </c>
      <c r="C136" s="45" t="s">
        <v>295</v>
      </c>
      <c r="D136" s="45" t="s">
        <v>277</v>
      </c>
      <c r="E136" s="46">
        <v>4850.0</v>
      </c>
      <c r="F136" s="47">
        <v>4850.0</v>
      </c>
      <c r="G136" s="72">
        <v>45649.0</v>
      </c>
      <c r="H136" s="45" t="s">
        <v>296</v>
      </c>
    </row>
    <row r="137" ht="15.75" customHeight="1">
      <c r="A137" s="42"/>
      <c r="B137" s="42" t="s">
        <v>297</v>
      </c>
      <c r="C137" s="42" t="s">
        <v>298</v>
      </c>
      <c r="D137" s="42" t="s">
        <v>113</v>
      </c>
      <c r="E137" s="43">
        <v>2000.0</v>
      </c>
      <c r="F137" s="44"/>
      <c r="G137" s="70">
        <v>45649.0</v>
      </c>
      <c r="H137" s="42" t="s">
        <v>254</v>
      </c>
    </row>
    <row r="138" ht="15.75" customHeight="1">
      <c r="A138" s="45"/>
      <c r="B138" s="45" t="s">
        <v>299</v>
      </c>
      <c r="C138" s="45" t="s">
        <v>300</v>
      </c>
      <c r="D138" s="45" t="s">
        <v>185</v>
      </c>
      <c r="E138" s="46">
        <v>9140.0</v>
      </c>
      <c r="F138" s="47">
        <v>2742.0</v>
      </c>
      <c r="G138" s="72">
        <v>45651.0</v>
      </c>
      <c r="H138" s="45" t="s">
        <v>301</v>
      </c>
    </row>
    <row r="139" ht="15.75" customHeight="1">
      <c r="A139" s="45"/>
      <c r="B139" s="45" t="s">
        <v>302</v>
      </c>
      <c r="C139" s="45" t="s">
        <v>303</v>
      </c>
      <c r="D139" s="45" t="s">
        <v>113</v>
      </c>
      <c r="E139" s="46">
        <v>2735.0</v>
      </c>
      <c r="F139" s="54">
        <v>2735.0</v>
      </c>
      <c r="G139" s="72">
        <v>45652.0</v>
      </c>
      <c r="H139" s="45" t="s">
        <v>114</v>
      </c>
    </row>
    <row r="140" ht="15.75" customHeight="1">
      <c r="A140" s="45"/>
      <c r="B140" s="45" t="s">
        <v>304</v>
      </c>
      <c r="C140" s="45" t="s">
        <v>305</v>
      </c>
      <c r="D140" s="45" t="s">
        <v>122</v>
      </c>
      <c r="E140" s="46">
        <v>2400.0</v>
      </c>
      <c r="F140" s="47">
        <v>2400.0</v>
      </c>
      <c r="G140" s="72">
        <v>45653.0</v>
      </c>
      <c r="H140" s="45" t="s">
        <v>306</v>
      </c>
    </row>
    <row r="141" ht="15.75" customHeight="1">
      <c r="A141" s="45"/>
      <c r="B141" s="45" t="s">
        <v>304</v>
      </c>
      <c r="C141" s="45" t="s">
        <v>307</v>
      </c>
      <c r="D141" s="45" t="s">
        <v>128</v>
      </c>
      <c r="E141" s="46">
        <v>2400.0</v>
      </c>
      <c r="F141" s="47">
        <v>2400.0</v>
      </c>
      <c r="G141" s="72">
        <v>45653.0</v>
      </c>
      <c r="H141" s="45" t="s">
        <v>306</v>
      </c>
    </row>
    <row r="142" ht="15.75" customHeight="1">
      <c r="A142" s="45"/>
      <c r="B142" s="45" t="s">
        <v>308</v>
      </c>
      <c r="C142" s="45" t="s">
        <v>309</v>
      </c>
      <c r="D142" s="45" t="s">
        <v>128</v>
      </c>
      <c r="E142" s="46">
        <v>4384.0</v>
      </c>
      <c r="F142" s="47">
        <v>4384.0</v>
      </c>
      <c r="G142" s="72">
        <v>45653.0</v>
      </c>
      <c r="H142" s="48"/>
    </row>
    <row r="143" ht="15.75" customHeight="1">
      <c r="A143" s="45"/>
      <c r="B143" s="45" t="s">
        <v>310</v>
      </c>
      <c r="C143" s="45" t="s">
        <v>311</v>
      </c>
      <c r="D143" s="45" t="s">
        <v>122</v>
      </c>
      <c r="E143" s="46">
        <v>7358.0</v>
      </c>
      <c r="F143" s="54">
        <v>7358.0</v>
      </c>
      <c r="G143" s="72">
        <v>45653.0</v>
      </c>
      <c r="H143" s="45" t="s">
        <v>312</v>
      </c>
    </row>
    <row r="144" ht="15.75" customHeight="1">
      <c r="A144" s="45"/>
      <c r="B144" s="45" t="s">
        <v>313</v>
      </c>
      <c r="C144" s="45" t="s">
        <v>314</v>
      </c>
      <c r="D144" s="45" t="s">
        <v>175</v>
      </c>
      <c r="E144" s="46">
        <v>1500.0</v>
      </c>
      <c r="F144" s="54">
        <v>1500.0</v>
      </c>
      <c r="G144" s="40"/>
      <c r="H144" s="45" t="s">
        <v>315</v>
      </c>
    </row>
    <row r="145" ht="15.75" customHeight="1">
      <c r="A145" s="48"/>
      <c r="B145" s="48"/>
      <c r="C145" s="45" t="s">
        <v>316</v>
      </c>
      <c r="D145" s="45" t="s">
        <v>113</v>
      </c>
      <c r="E145" s="46">
        <v>500.0</v>
      </c>
      <c r="F145" s="54">
        <v>500.0</v>
      </c>
      <c r="G145" s="72">
        <v>45657.0</v>
      </c>
      <c r="H145" s="48"/>
    </row>
    <row r="146" ht="15.75" customHeight="1">
      <c r="A146" s="45"/>
      <c r="B146" s="45" t="s">
        <v>317</v>
      </c>
      <c r="C146" s="45" t="s">
        <v>318</v>
      </c>
      <c r="D146" s="45" t="s">
        <v>167</v>
      </c>
      <c r="E146" s="46">
        <v>3152.0</v>
      </c>
      <c r="F146" s="47">
        <v>3152.0</v>
      </c>
      <c r="G146" s="72">
        <v>45657.0</v>
      </c>
      <c r="H146" s="45" t="s">
        <v>319</v>
      </c>
    </row>
    <row r="147" ht="15.75" customHeight="1">
      <c r="A147" s="42"/>
      <c r="B147" s="42" t="s">
        <v>320</v>
      </c>
      <c r="C147" s="42" t="s">
        <v>321</v>
      </c>
      <c r="D147" s="42" t="s">
        <v>175</v>
      </c>
      <c r="E147" s="43">
        <v>2783.0</v>
      </c>
      <c r="F147" s="44"/>
      <c r="G147" s="27">
        <v>45301.0</v>
      </c>
      <c r="H147" s="42" t="s">
        <v>119</v>
      </c>
    </row>
    <row r="148" ht="15.75" customHeight="1">
      <c r="A148" s="45"/>
      <c r="B148" s="45" t="s">
        <v>322</v>
      </c>
      <c r="C148" s="45" t="s">
        <v>323</v>
      </c>
      <c r="D148" s="45" t="s">
        <v>118</v>
      </c>
      <c r="E148" s="46">
        <v>4592.0</v>
      </c>
      <c r="F148" s="47">
        <v>4592.0</v>
      </c>
      <c r="G148" s="72">
        <v>45657.0</v>
      </c>
      <c r="H148" s="45" t="s">
        <v>324</v>
      </c>
    </row>
    <row r="149" ht="15.75" customHeight="1">
      <c r="A149" s="45"/>
      <c r="B149" s="45" t="s">
        <v>325</v>
      </c>
      <c r="C149" s="45" t="s">
        <v>288</v>
      </c>
      <c r="D149" s="45" t="s">
        <v>122</v>
      </c>
      <c r="E149" s="46">
        <v>1828.8</v>
      </c>
      <c r="F149" s="47">
        <v>1828.8</v>
      </c>
      <c r="G149" s="31">
        <v>45658.0</v>
      </c>
      <c r="H149" s="45" t="s">
        <v>114</v>
      </c>
    </row>
    <row r="150" ht="15.75" customHeight="1">
      <c r="A150" s="45"/>
      <c r="B150" s="45" t="s">
        <v>326</v>
      </c>
      <c r="C150" s="45" t="s">
        <v>327</v>
      </c>
      <c r="D150" s="45" t="s">
        <v>185</v>
      </c>
      <c r="E150" s="46">
        <v>5560.0</v>
      </c>
      <c r="F150" s="54">
        <v>5560.0</v>
      </c>
      <c r="G150" s="31">
        <v>45662.0</v>
      </c>
      <c r="H150" s="45" t="s">
        <v>328</v>
      </c>
    </row>
    <row r="151" ht="15.75" customHeight="1">
      <c r="A151" s="45"/>
      <c r="B151" s="45" t="s">
        <v>329</v>
      </c>
      <c r="C151" s="45" t="s">
        <v>330</v>
      </c>
      <c r="D151" s="45" t="s">
        <v>128</v>
      </c>
      <c r="E151" s="46">
        <v>2349.0</v>
      </c>
      <c r="F151" s="54">
        <v>2349.0</v>
      </c>
      <c r="G151" s="31">
        <v>45667.0</v>
      </c>
      <c r="H151" s="45" t="s">
        <v>114</v>
      </c>
    </row>
    <row r="152" ht="15.75" customHeight="1">
      <c r="A152" s="45"/>
      <c r="B152" s="45" t="s">
        <v>331</v>
      </c>
      <c r="C152" s="45" t="s">
        <v>332</v>
      </c>
      <c r="D152" s="45" t="s">
        <v>153</v>
      </c>
      <c r="E152" s="46">
        <v>3050.0</v>
      </c>
      <c r="F152" s="47">
        <v>3050.0</v>
      </c>
      <c r="G152" s="31">
        <v>45667.0</v>
      </c>
      <c r="H152" s="45" t="s">
        <v>286</v>
      </c>
    </row>
    <row r="153" ht="15.75" customHeight="1">
      <c r="A153" s="45"/>
      <c r="B153" s="45" t="s">
        <v>333</v>
      </c>
      <c r="C153" s="45" t="s">
        <v>334</v>
      </c>
      <c r="D153" s="45" t="s">
        <v>128</v>
      </c>
      <c r="E153" s="46">
        <v>2349.0</v>
      </c>
      <c r="F153" s="47">
        <v>1174.5</v>
      </c>
      <c r="G153" s="31">
        <v>45673.0</v>
      </c>
      <c r="H153" s="45" t="s">
        <v>335</v>
      </c>
    </row>
    <row r="154" ht="15.75" customHeight="1">
      <c r="A154" s="45"/>
      <c r="B154" s="45" t="s">
        <v>336</v>
      </c>
      <c r="C154" s="45" t="s">
        <v>337</v>
      </c>
      <c r="D154" s="45" t="s">
        <v>128</v>
      </c>
      <c r="E154" s="46">
        <v>968.0</v>
      </c>
      <c r="F154" s="54">
        <v>968.0</v>
      </c>
      <c r="G154" s="31">
        <v>45677.0</v>
      </c>
      <c r="H154" s="45" t="s">
        <v>338</v>
      </c>
    </row>
    <row r="155" ht="15.75" customHeight="1">
      <c r="A155" s="45"/>
      <c r="B155" s="45" t="s">
        <v>339</v>
      </c>
      <c r="C155" s="45" t="s">
        <v>340</v>
      </c>
      <c r="D155" s="45" t="s">
        <v>128</v>
      </c>
      <c r="E155" s="46">
        <v>1347.0</v>
      </c>
      <c r="F155" s="47">
        <v>1347.0</v>
      </c>
      <c r="G155" s="31">
        <v>45678.0</v>
      </c>
      <c r="H155" s="45" t="s">
        <v>341</v>
      </c>
    </row>
    <row r="156" ht="15.75" customHeight="1">
      <c r="A156" s="45"/>
      <c r="B156" s="45" t="s">
        <v>342</v>
      </c>
      <c r="C156" s="45" t="s">
        <v>343</v>
      </c>
      <c r="D156" s="45" t="s">
        <v>113</v>
      </c>
      <c r="E156" s="46">
        <v>1798.0</v>
      </c>
      <c r="F156" s="47">
        <v>1798.0</v>
      </c>
      <c r="G156" s="31">
        <v>45679.0</v>
      </c>
      <c r="H156" s="45" t="s">
        <v>114</v>
      </c>
    </row>
    <row r="157" ht="15.75" customHeight="1">
      <c r="A157" s="45"/>
      <c r="B157" s="45" t="s">
        <v>344</v>
      </c>
      <c r="C157" s="45" t="s">
        <v>345</v>
      </c>
      <c r="D157" s="45" t="s">
        <v>113</v>
      </c>
      <c r="E157" s="46">
        <v>2043.0</v>
      </c>
      <c r="F157" s="47">
        <v>2043.0</v>
      </c>
      <c r="G157" s="31">
        <v>45681.0</v>
      </c>
      <c r="H157" s="45" t="s">
        <v>248</v>
      </c>
    </row>
    <row r="158" ht="15.75" customHeight="1">
      <c r="A158" s="45"/>
      <c r="B158" s="45" t="s">
        <v>346</v>
      </c>
      <c r="C158" s="45" t="s">
        <v>347</v>
      </c>
      <c r="D158" s="45" t="s">
        <v>175</v>
      </c>
      <c r="E158" s="46">
        <v>1200.0</v>
      </c>
      <c r="F158" s="47">
        <v>1200.0</v>
      </c>
      <c r="G158" s="31">
        <v>45683.0</v>
      </c>
      <c r="H158" s="45" t="s">
        <v>114</v>
      </c>
    </row>
    <row r="159" ht="15.75" customHeight="1">
      <c r="A159" s="76"/>
      <c r="B159" s="45" t="s">
        <v>348</v>
      </c>
      <c r="C159" s="45" t="s">
        <v>349</v>
      </c>
      <c r="D159" s="45" t="s">
        <v>167</v>
      </c>
      <c r="E159" s="46"/>
      <c r="F159" s="47">
        <v>805.0</v>
      </c>
      <c r="G159" s="31"/>
      <c r="H159" s="45" t="s">
        <v>350</v>
      </c>
    </row>
    <row r="160" ht="15.75" customHeight="1">
      <c r="A160" s="45"/>
      <c r="B160" s="45" t="s">
        <v>351</v>
      </c>
      <c r="C160" s="45" t="s">
        <v>352</v>
      </c>
      <c r="D160" s="45" t="s">
        <v>128</v>
      </c>
      <c r="E160" s="46">
        <v>4322.0</v>
      </c>
      <c r="F160" s="54">
        <v>4322.0</v>
      </c>
      <c r="G160" s="31">
        <v>45690.0</v>
      </c>
      <c r="H160" s="45" t="s">
        <v>353</v>
      </c>
    </row>
    <row r="161" ht="15.75" customHeight="1">
      <c r="A161" s="45"/>
      <c r="B161" s="45" t="s">
        <v>354</v>
      </c>
      <c r="C161" s="45" t="s">
        <v>355</v>
      </c>
      <c r="D161" s="45" t="s">
        <v>118</v>
      </c>
      <c r="E161" s="46">
        <v>928.0</v>
      </c>
      <c r="F161" s="47">
        <v>928.0</v>
      </c>
      <c r="G161" s="31">
        <v>45689.0</v>
      </c>
      <c r="H161" s="48"/>
    </row>
    <row r="162" ht="15.75" customHeight="1">
      <c r="A162" s="68"/>
      <c r="B162" s="68" t="s">
        <v>356</v>
      </c>
      <c r="C162" s="45" t="s">
        <v>357</v>
      </c>
      <c r="D162" s="45" t="s">
        <v>128</v>
      </c>
      <c r="E162" s="46">
        <v>1198.0</v>
      </c>
      <c r="F162" s="47">
        <v>1198.0</v>
      </c>
      <c r="G162" s="31">
        <v>45692.0</v>
      </c>
      <c r="H162" s="48"/>
    </row>
    <row r="163" ht="15.75" customHeight="1">
      <c r="A163" s="45"/>
      <c r="B163" s="45" t="s">
        <v>358</v>
      </c>
      <c r="C163" s="45" t="s">
        <v>359</v>
      </c>
      <c r="D163" s="45" t="s">
        <v>118</v>
      </c>
      <c r="E163" s="46">
        <v>1618.0</v>
      </c>
      <c r="F163" s="54">
        <v>1618.0</v>
      </c>
      <c r="G163" s="31">
        <v>45693.0</v>
      </c>
      <c r="H163" s="45" t="s">
        <v>360</v>
      </c>
    </row>
    <row r="164" ht="15.75" customHeight="1">
      <c r="A164" s="45"/>
      <c r="B164" s="45" t="s">
        <v>361</v>
      </c>
      <c r="C164" s="45" t="s">
        <v>362</v>
      </c>
      <c r="D164" s="45" t="s">
        <v>167</v>
      </c>
      <c r="E164" s="46">
        <v>1370.0</v>
      </c>
      <c r="F164" s="47">
        <v>1370.0</v>
      </c>
      <c r="G164" s="31">
        <v>45698.0</v>
      </c>
      <c r="H164" s="45" t="s">
        <v>363</v>
      </c>
    </row>
    <row r="165" ht="15.75" customHeight="1">
      <c r="A165" s="45"/>
      <c r="B165" s="45" t="s">
        <v>364</v>
      </c>
      <c r="C165" s="45" t="s">
        <v>365</v>
      </c>
      <c r="D165" s="45" t="s">
        <v>122</v>
      </c>
      <c r="E165" s="46">
        <v>3231.0</v>
      </c>
      <c r="F165" s="54">
        <v>3231.0</v>
      </c>
      <c r="G165" s="31">
        <v>45695.0</v>
      </c>
      <c r="H165" s="45" t="s">
        <v>366</v>
      </c>
    </row>
    <row r="166" ht="15.75" customHeight="1">
      <c r="A166" s="42"/>
      <c r="B166" s="42" t="s">
        <v>367</v>
      </c>
      <c r="C166" s="42" t="s">
        <v>368</v>
      </c>
      <c r="D166" s="42" t="s">
        <v>167</v>
      </c>
      <c r="E166" s="43">
        <v>1654.0</v>
      </c>
      <c r="F166" s="44"/>
      <c r="G166" s="27">
        <v>45695.0</v>
      </c>
      <c r="H166" s="42" t="s">
        <v>369</v>
      </c>
    </row>
    <row r="167" ht="15.75" customHeight="1">
      <c r="A167" s="45"/>
      <c r="B167" s="45" t="s">
        <v>370</v>
      </c>
      <c r="C167" s="45" t="s">
        <v>330</v>
      </c>
      <c r="D167" s="45" t="s">
        <v>128</v>
      </c>
      <c r="E167" s="46">
        <v>1888.0</v>
      </c>
      <c r="F167" s="54">
        <v>1888.0</v>
      </c>
      <c r="G167" s="31">
        <v>45697.0</v>
      </c>
      <c r="H167" s="45" t="s">
        <v>371</v>
      </c>
    </row>
    <row r="168" ht="15.75" customHeight="1">
      <c r="A168" s="45"/>
      <c r="B168" s="45" t="s">
        <v>372</v>
      </c>
      <c r="C168" s="45" t="s">
        <v>365</v>
      </c>
      <c r="D168" s="45" t="s">
        <v>175</v>
      </c>
      <c r="E168" s="46">
        <v>3218.0</v>
      </c>
      <c r="F168" s="47">
        <v>3218.0</v>
      </c>
      <c r="G168" s="31">
        <v>45702.0</v>
      </c>
      <c r="H168" s="45" t="s">
        <v>373</v>
      </c>
    </row>
    <row r="169" ht="15.75" customHeight="1">
      <c r="A169" s="45"/>
      <c r="B169" s="45" t="s">
        <v>374</v>
      </c>
      <c r="C169" s="45" t="s">
        <v>375</v>
      </c>
      <c r="D169" s="45" t="s">
        <v>118</v>
      </c>
      <c r="E169" s="57">
        <v>4400.0</v>
      </c>
      <c r="F169" s="54">
        <v>4400.0</v>
      </c>
      <c r="G169" s="31">
        <v>45709.0</v>
      </c>
      <c r="H169" s="45" t="s">
        <v>376</v>
      </c>
    </row>
    <row r="170" ht="15.75" customHeight="1">
      <c r="A170" s="45"/>
      <c r="B170" s="45" t="s">
        <v>377</v>
      </c>
      <c r="C170" s="45" t="s">
        <v>378</v>
      </c>
      <c r="D170" s="45" t="s">
        <v>167</v>
      </c>
      <c r="E170" s="46">
        <v>1079.0</v>
      </c>
      <c r="F170" s="47">
        <v>1079.0</v>
      </c>
      <c r="G170" s="31">
        <v>45703.0</v>
      </c>
      <c r="H170" s="45" t="s">
        <v>114</v>
      </c>
    </row>
    <row r="171" ht="15.75" customHeight="1">
      <c r="A171" s="45"/>
      <c r="B171" s="45" t="s">
        <v>379</v>
      </c>
      <c r="C171" s="45" t="s">
        <v>380</v>
      </c>
      <c r="D171" s="45" t="s">
        <v>185</v>
      </c>
      <c r="E171" s="46">
        <v>4403.55</v>
      </c>
      <c r="F171" s="54">
        <v>4403.55</v>
      </c>
      <c r="G171" s="31">
        <v>45706.0</v>
      </c>
      <c r="H171" s="45" t="s">
        <v>381</v>
      </c>
    </row>
    <row r="172" ht="15.75" customHeight="1">
      <c r="A172" s="45"/>
      <c r="B172" s="45" t="s">
        <v>382</v>
      </c>
      <c r="C172" s="45" t="s">
        <v>383</v>
      </c>
      <c r="D172" s="45" t="s">
        <v>113</v>
      </c>
      <c r="E172" s="46">
        <v>886.0</v>
      </c>
      <c r="F172" s="47">
        <v>886.0</v>
      </c>
      <c r="G172" s="31">
        <v>45706.0</v>
      </c>
      <c r="H172" s="45" t="s">
        <v>324</v>
      </c>
    </row>
    <row r="173" ht="15.75" customHeight="1">
      <c r="A173" s="45"/>
      <c r="B173" s="45" t="s">
        <v>384</v>
      </c>
      <c r="C173" s="45" t="s">
        <v>385</v>
      </c>
      <c r="D173" s="45" t="s">
        <v>122</v>
      </c>
      <c r="E173" s="46">
        <v>1770.0</v>
      </c>
      <c r="F173" s="54">
        <v>1770.0</v>
      </c>
      <c r="G173" s="31">
        <v>45707.0</v>
      </c>
      <c r="H173" s="45" t="s">
        <v>386</v>
      </c>
    </row>
    <row r="174" ht="15.75" customHeight="1">
      <c r="A174" s="42"/>
      <c r="B174" s="42" t="s">
        <v>387</v>
      </c>
      <c r="C174" s="42" t="s">
        <v>385</v>
      </c>
      <c r="D174" s="42" t="s">
        <v>118</v>
      </c>
      <c r="E174" s="43">
        <v>2940.0</v>
      </c>
      <c r="F174" s="44"/>
      <c r="G174" s="27">
        <v>45712.0</v>
      </c>
      <c r="H174" s="42" t="s">
        <v>32</v>
      </c>
    </row>
    <row r="175" ht="15.75" customHeight="1">
      <c r="A175" s="45"/>
      <c r="B175" s="45" t="s">
        <v>388</v>
      </c>
      <c r="C175" s="45" t="s">
        <v>389</v>
      </c>
      <c r="D175" s="45" t="s">
        <v>167</v>
      </c>
      <c r="E175" s="46">
        <v>2030.0</v>
      </c>
      <c r="F175" s="54">
        <v>2030.0</v>
      </c>
      <c r="G175" s="31">
        <v>45772.0</v>
      </c>
      <c r="H175" s="45" t="s">
        <v>390</v>
      </c>
    </row>
    <row r="176" ht="15.75" customHeight="1">
      <c r="A176" s="68"/>
      <c r="B176" s="68" t="s">
        <v>391</v>
      </c>
      <c r="C176" s="45" t="s">
        <v>392</v>
      </c>
      <c r="D176" s="45" t="s">
        <v>65</v>
      </c>
      <c r="E176" s="46">
        <v>2868.0</v>
      </c>
      <c r="F176" s="47">
        <v>2868.0</v>
      </c>
      <c r="G176" s="31">
        <v>45713.0</v>
      </c>
      <c r="H176" s="45" t="s">
        <v>114</v>
      </c>
    </row>
    <row r="177" ht="15.75" customHeight="1">
      <c r="A177" s="69"/>
      <c r="B177" s="69" t="s">
        <v>393</v>
      </c>
      <c r="C177" s="42" t="s">
        <v>394</v>
      </c>
      <c r="D177" s="42" t="s">
        <v>175</v>
      </c>
      <c r="E177" s="43">
        <v>1656.0</v>
      </c>
      <c r="F177" s="26"/>
      <c r="G177" s="27">
        <v>45714.0</v>
      </c>
      <c r="H177" s="42" t="s">
        <v>395</v>
      </c>
    </row>
    <row r="178" ht="15.75" customHeight="1">
      <c r="A178" s="42"/>
      <c r="B178" s="42" t="s">
        <v>396</v>
      </c>
      <c r="C178" s="42" t="s">
        <v>397</v>
      </c>
      <c r="D178" s="42" t="s">
        <v>167</v>
      </c>
      <c r="E178" s="43">
        <v>1424.0</v>
      </c>
      <c r="F178" s="44"/>
      <c r="G178" s="27">
        <v>45720.0</v>
      </c>
      <c r="H178" s="42" t="s">
        <v>324</v>
      </c>
    </row>
    <row r="179" ht="15.75" customHeight="1">
      <c r="A179" s="45"/>
      <c r="B179" s="45" t="s">
        <v>398</v>
      </c>
      <c r="C179" s="45" t="s">
        <v>399</v>
      </c>
      <c r="D179" s="45" t="s">
        <v>118</v>
      </c>
      <c r="E179" s="46">
        <v>1950.0</v>
      </c>
      <c r="F179" s="47">
        <v>1950.0</v>
      </c>
      <c r="G179" s="31">
        <v>45721.0</v>
      </c>
      <c r="H179" s="45" t="s">
        <v>400</v>
      </c>
    </row>
    <row r="180" ht="15.75" customHeight="1">
      <c r="A180" s="45"/>
      <c r="B180" s="45" t="s">
        <v>401</v>
      </c>
      <c r="C180" s="45" t="s">
        <v>402</v>
      </c>
      <c r="D180" s="45" t="s">
        <v>175</v>
      </c>
      <c r="E180" s="46">
        <v>1096.0</v>
      </c>
      <c r="F180" s="54">
        <v>1096.0</v>
      </c>
      <c r="G180" s="31">
        <v>45721.0</v>
      </c>
      <c r="H180" s="45" t="s">
        <v>114</v>
      </c>
    </row>
    <row r="181" ht="15.75" customHeight="1">
      <c r="A181" s="45"/>
      <c r="B181" s="45" t="s">
        <v>403</v>
      </c>
      <c r="C181" s="45" t="s">
        <v>404</v>
      </c>
      <c r="D181" s="45" t="s">
        <v>118</v>
      </c>
      <c r="E181" s="46">
        <v>698.0</v>
      </c>
      <c r="F181" s="47">
        <v>698.0</v>
      </c>
      <c r="G181" s="31">
        <v>45722.0</v>
      </c>
      <c r="H181" s="45" t="s">
        <v>324</v>
      </c>
    </row>
    <row r="182" ht="15.75" customHeight="1">
      <c r="A182" s="68"/>
      <c r="B182" s="68" t="s">
        <v>405</v>
      </c>
      <c r="C182" s="45" t="s">
        <v>402</v>
      </c>
      <c r="D182" s="45" t="s">
        <v>167</v>
      </c>
      <c r="E182" s="46">
        <v>1370.0</v>
      </c>
      <c r="F182" s="54">
        <v>1370.0</v>
      </c>
      <c r="G182" s="31">
        <v>45722.0</v>
      </c>
      <c r="H182" s="60"/>
    </row>
    <row r="183" ht="15.75" customHeight="1">
      <c r="A183" s="45"/>
      <c r="B183" s="45" t="s">
        <v>406</v>
      </c>
      <c r="C183" s="45" t="s">
        <v>407</v>
      </c>
      <c r="D183" s="45" t="s">
        <v>167</v>
      </c>
      <c r="E183" s="46">
        <v>962.0</v>
      </c>
      <c r="F183" s="47">
        <v>962.0</v>
      </c>
      <c r="G183" s="31">
        <v>45723.0</v>
      </c>
      <c r="H183" s="45" t="s">
        <v>324</v>
      </c>
    </row>
    <row r="184" ht="15.75" customHeight="1">
      <c r="A184" s="45"/>
      <c r="B184" s="45" t="s">
        <v>382</v>
      </c>
      <c r="C184" s="45" t="s">
        <v>408</v>
      </c>
      <c r="D184" s="45" t="s">
        <v>185</v>
      </c>
      <c r="E184" s="46">
        <v>443.0</v>
      </c>
      <c r="F184" s="47">
        <v>443.0</v>
      </c>
      <c r="G184" s="31">
        <v>45723.0</v>
      </c>
      <c r="H184" s="45" t="s">
        <v>409</v>
      </c>
    </row>
    <row r="185" ht="15.75" customHeight="1">
      <c r="A185" s="45"/>
      <c r="B185" s="45" t="s">
        <v>410</v>
      </c>
      <c r="C185" s="45" t="s">
        <v>411</v>
      </c>
      <c r="D185" s="45" t="s">
        <v>175</v>
      </c>
      <c r="E185" s="46">
        <v>799.0</v>
      </c>
      <c r="F185" s="47">
        <v>799.0</v>
      </c>
      <c r="G185" s="31">
        <v>45723.0</v>
      </c>
      <c r="H185" s="48"/>
    </row>
    <row r="186" ht="15.75" customHeight="1">
      <c r="A186" s="45"/>
      <c r="B186" s="45" t="s">
        <v>412</v>
      </c>
      <c r="C186" s="45" t="s">
        <v>413</v>
      </c>
      <c r="D186" s="45" t="s">
        <v>185</v>
      </c>
      <c r="E186" s="46">
        <v>1979.0</v>
      </c>
      <c r="F186" s="47">
        <v>1979.0</v>
      </c>
      <c r="G186" s="31">
        <v>45723.0</v>
      </c>
      <c r="H186" s="48"/>
    </row>
    <row r="187" ht="15.75" customHeight="1">
      <c r="A187" s="42"/>
      <c r="B187" s="42" t="s">
        <v>414</v>
      </c>
      <c r="C187" s="42" t="s">
        <v>415</v>
      </c>
      <c r="D187" s="42" t="s">
        <v>185</v>
      </c>
      <c r="E187" s="43">
        <v>4450.0</v>
      </c>
      <c r="F187" s="44"/>
      <c r="G187" s="27">
        <v>45725.0</v>
      </c>
      <c r="H187" s="42" t="s">
        <v>119</v>
      </c>
    </row>
    <row r="188" ht="15.75" customHeight="1">
      <c r="A188" s="45"/>
      <c r="B188" s="45" t="s">
        <v>416</v>
      </c>
      <c r="C188" s="45" t="s">
        <v>417</v>
      </c>
      <c r="D188" s="45" t="s">
        <v>122</v>
      </c>
      <c r="E188" s="46">
        <v>1748.0</v>
      </c>
      <c r="F188" s="54">
        <v>1748.0</v>
      </c>
      <c r="G188" s="31">
        <v>45730.0</v>
      </c>
      <c r="H188" s="45" t="s">
        <v>114</v>
      </c>
    </row>
    <row r="189" ht="15.75" customHeight="1">
      <c r="A189" s="45"/>
      <c r="B189" s="45" t="s">
        <v>418</v>
      </c>
      <c r="C189" s="45" t="s">
        <v>419</v>
      </c>
      <c r="D189" s="45" t="s">
        <v>185</v>
      </c>
      <c r="E189" s="46">
        <v>1639.0</v>
      </c>
      <c r="F189" s="47">
        <v>1639.0</v>
      </c>
      <c r="G189" s="31">
        <v>45730.0</v>
      </c>
      <c r="H189" s="45" t="s">
        <v>420</v>
      </c>
    </row>
    <row r="190" ht="15.75" customHeight="1">
      <c r="A190" s="42"/>
      <c r="B190" s="42" t="s">
        <v>421</v>
      </c>
      <c r="C190" s="42" t="s">
        <v>385</v>
      </c>
      <c r="D190" s="42" t="s">
        <v>185</v>
      </c>
      <c r="E190" s="43">
        <v>3451.0</v>
      </c>
      <c r="F190" s="44"/>
      <c r="G190" s="27">
        <v>45733.0</v>
      </c>
      <c r="H190" s="42" t="s">
        <v>32</v>
      </c>
    </row>
    <row r="191" ht="15.75" customHeight="1">
      <c r="A191" s="42"/>
      <c r="B191" s="42" t="s">
        <v>422</v>
      </c>
      <c r="C191" s="42" t="s">
        <v>423</v>
      </c>
      <c r="D191" s="42" t="s">
        <v>167</v>
      </c>
      <c r="E191" s="43">
        <v>1248.0</v>
      </c>
      <c r="F191" s="44"/>
      <c r="G191" s="27">
        <v>45741.0</v>
      </c>
      <c r="H191" s="42" t="s">
        <v>424</v>
      </c>
    </row>
    <row r="192" ht="15.75" customHeight="1">
      <c r="A192" s="45"/>
      <c r="B192" s="45" t="s">
        <v>112</v>
      </c>
      <c r="C192" s="45" t="s">
        <v>425</v>
      </c>
      <c r="D192" s="45" t="s">
        <v>153</v>
      </c>
      <c r="E192" s="46">
        <v>1539.0</v>
      </c>
      <c r="F192" s="54">
        <v>1539.0</v>
      </c>
      <c r="G192" s="31">
        <v>45734.0</v>
      </c>
      <c r="H192" s="45" t="s">
        <v>426</v>
      </c>
    </row>
    <row r="193" ht="15.75" customHeight="1">
      <c r="A193" s="45"/>
      <c r="B193" s="45" t="s">
        <v>427</v>
      </c>
      <c r="C193" s="45" t="s">
        <v>428</v>
      </c>
      <c r="D193" s="45" t="s">
        <v>175</v>
      </c>
      <c r="E193" s="46">
        <v>482.0</v>
      </c>
      <c r="F193" s="54">
        <v>482.0</v>
      </c>
      <c r="G193" s="31">
        <v>45734.0</v>
      </c>
      <c r="H193" s="45" t="s">
        <v>114</v>
      </c>
    </row>
    <row r="194" ht="15.75" customHeight="1">
      <c r="A194" s="45"/>
      <c r="B194" s="45" t="s">
        <v>429</v>
      </c>
      <c r="C194" s="45" t="s">
        <v>430</v>
      </c>
      <c r="D194" s="45" t="s">
        <v>113</v>
      </c>
      <c r="E194" s="46">
        <v>2200.0</v>
      </c>
      <c r="F194" s="54">
        <v>2200.0</v>
      </c>
      <c r="G194" s="31">
        <v>45736.0</v>
      </c>
      <c r="H194" s="45" t="s">
        <v>431</v>
      </c>
    </row>
    <row r="195" ht="15.75" customHeight="1">
      <c r="A195" s="45"/>
      <c r="B195" s="45" t="s">
        <v>432</v>
      </c>
      <c r="C195" s="45" t="s">
        <v>433</v>
      </c>
      <c r="D195" s="45" t="s">
        <v>118</v>
      </c>
      <c r="E195" s="46">
        <v>1347.0</v>
      </c>
      <c r="F195" s="47">
        <v>1347.0</v>
      </c>
      <c r="G195" s="31">
        <v>45736.0</v>
      </c>
      <c r="H195" s="45" t="s">
        <v>434</v>
      </c>
    </row>
    <row r="196" ht="15.75" customHeight="1">
      <c r="A196" s="45"/>
      <c r="B196" s="45" t="s">
        <v>435</v>
      </c>
      <c r="C196" s="45" t="s">
        <v>436</v>
      </c>
      <c r="D196" s="45" t="s">
        <v>113</v>
      </c>
      <c r="E196" s="46">
        <v>1772.0</v>
      </c>
      <c r="F196" s="47">
        <v>1772.0</v>
      </c>
      <c r="G196" s="31">
        <v>45736.0</v>
      </c>
      <c r="H196" s="45" t="s">
        <v>437</v>
      </c>
    </row>
    <row r="197" ht="15.75" customHeight="1">
      <c r="A197" s="45"/>
      <c r="B197" s="45" t="s">
        <v>438</v>
      </c>
      <c r="C197" s="45" t="s">
        <v>397</v>
      </c>
      <c r="D197" s="45" t="s">
        <v>122</v>
      </c>
      <c r="E197" s="46">
        <v>860.0</v>
      </c>
      <c r="F197" s="47">
        <v>860.0</v>
      </c>
      <c r="G197" s="31">
        <v>45739.0</v>
      </c>
      <c r="H197" s="45" t="s">
        <v>439</v>
      </c>
    </row>
    <row r="198" ht="15.75" customHeight="1">
      <c r="A198" s="45"/>
      <c r="B198" s="45" t="s">
        <v>440</v>
      </c>
      <c r="C198" s="45" t="s">
        <v>441</v>
      </c>
      <c r="D198" s="45" t="s">
        <v>185</v>
      </c>
      <c r="E198" s="46">
        <v>4162.0</v>
      </c>
      <c r="F198" s="47">
        <v>4162.0</v>
      </c>
      <c r="G198" s="31">
        <v>45741.0</v>
      </c>
      <c r="H198" s="45" t="s">
        <v>442</v>
      </c>
    </row>
    <row r="199" ht="15.75" customHeight="1">
      <c r="A199" s="45"/>
      <c r="B199" s="45" t="s">
        <v>443</v>
      </c>
      <c r="C199" s="45" t="s">
        <v>444</v>
      </c>
      <c r="D199" s="45" t="s">
        <v>167</v>
      </c>
      <c r="E199" s="46">
        <v>1029.0</v>
      </c>
      <c r="F199" s="47">
        <v>1029.0</v>
      </c>
      <c r="G199" s="31">
        <v>45741.0</v>
      </c>
      <c r="H199" s="45" t="s">
        <v>445</v>
      </c>
    </row>
    <row r="200" ht="15.75" customHeight="1">
      <c r="A200" s="45"/>
      <c r="B200" s="45" t="s">
        <v>446</v>
      </c>
      <c r="C200" s="45" t="s">
        <v>9</v>
      </c>
      <c r="D200" s="45" t="s">
        <v>118</v>
      </c>
      <c r="E200" s="46">
        <v>900.0</v>
      </c>
      <c r="F200" s="47">
        <v>900.0</v>
      </c>
      <c r="G200" s="31">
        <v>45743.0</v>
      </c>
      <c r="H200" s="45" t="s">
        <v>447</v>
      </c>
    </row>
    <row r="201" ht="15.75" customHeight="1">
      <c r="A201" s="45"/>
      <c r="B201" s="45" t="s">
        <v>448</v>
      </c>
      <c r="C201" s="45" t="s">
        <v>449</v>
      </c>
      <c r="D201" s="45" t="s">
        <v>167</v>
      </c>
      <c r="E201" s="46">
        <v>413.0</v>
      </c>
      <c r="F201" s="47">
        <v>413.0</v>
      </c>
      <c r="G201" s="31">
        <v>45744.0</v>
      </c>
      <c r="H201" s="45" t="s">
        <v>324</v>
      </c>
    </row>
    <row r="202" ht="15.75" customHeight="1">
      <c r="A202" s="45"/>
      <c r="B202" s="45" t="s">
        <v>450</v>
      </c>
      <c r="C202" s="45" t="s">
        <v>9</v>
      </c>
      <c r="D202" s="45" t="s">
        <v>153</v>
      </c>
      <c r="E202" s="46">
        <v>928.0</v>
      </c>
      <c r="F202" s="47">
        <v>928.0</v>
      </c>
      <c r="G202" s="31">
        <v>45744.0</v>
      </c>
      <c r="H202" s="45" t="s">
        <v>114</v>
      </c>
    </row>
    <row r="203" ht="15.75" customHeight="1">
      <c r="A203" s="45"/>
      <c r="B203" s="45" t="s">
        <v>451</v>
      </c>
      <c r="C203" s="45" t="s">
        <v>385</v>
      </c>
      <c r="D203" s="45" t="s">
        <v>167</v>
      </c>
      <c r="E203" s="46">
        <v>1923.0</v>
      </c>
      <c r="F203" s="54">
        <v>1923.0</v>
      </c>
      <c r="G203" s="31">
        <v>45746.0</v>
      </c>
      <c r="H203" s="45" t="s">
        <v>452</v>
      </c>
    </row>
    <row r="204" ht="15.75" customHeight="1">
      <c r="A204" s="45"/>
      <c r="B204" s="45" t="s">
        <v>453</v>
      </c>
      <c r="C204" s="45" t="s">
        <v>454</v>
      </c>
      <c r="D204" s="45" t="s">
        <v>113</v>
      </c>
      <c r="E204" s="46">
        <v>815.0</v>
      </c>
      <c r="F204" s="54">
        <v>815.0</v>
      </c>
      <c r="G204" s="31">
        <v>45759.0</v>
      </c>
      <c r="H204" s="45" t="s">
        <v>455</v>
      </c>
    </row>
    <row r="205" ht="15.75" customHeight="1">
      <c r="A205" s="42"/>
      <c r="B205" s="42" t="s">
        <v>456</v>
      </c>
      <c r="C205" s="42" t="s">
        <v>457</v>
      </c>
      <c r="D205" s="42" t="s">
        <v>153</v>
      </c>
      <c r="E205" s="43">
        <v>897.0</v>
      </c>
      <c r="F205" s="44"/>
      <c r="G205" s="27">
        <v>45766.0</v>
      </c>
      <c r="H205" s="42" t="s">
        <v>32</v>
      </c>
    </row>
    <row r="206" ht="15.75" customHeight="1">
      <c r="A206" s="45"/>
      <c r="B206" s="45" t="s">
        <v>458</v>
      </c>
      <c r="C206" s="45" t="s">
        <v>459</v>
      </c>
      <c r="D206" s="45" t="s">
        <v>122</v>
      </c>
      <c r="E206" s="46">
        <v>897.0</v>
      </c>
      <c r="F206" s="47">
        <v>897.0</v>
      </c>
      <c r="G206" s="31">
        <v>45769.0</v>
      </c>
      <c r="H206" s="45" t="s">
        <v>460</v>
      </c>
    </row>
    <row r="207" ht="15.75" customHeight="1">
      <c r="A207" s="45"/>
      <c r="B207" s="45" t="s">
        <v>461</v>
      </c>
      <c r="C207" s="45" t="s">
        <v>462</v>
      </c>
      <c r="D207" s="45" t="s">
        <v>113</v>
      </c>
      <c r="E207" s="46">
        <v>1975.0</v>
      </c>
      <c r="F207" s="54">
        <v>1975.0</v>
      </c>
      <c r="G207" s="31">
        <v>45772.0</v>
      </c>
      <c r="H207" s="45" t="s">
        <v>463</v>
      </c>
    </row>
    <row r="208" ht="15.75" customHeight="1">
      <c r="A208" s="45"/>
      <c r="B208" s="45" t="s">
        <v>464</v>
      </c>
      <c r="C208" s="45" t="s">
        <v>465</v>
      </c>
      <c r="D208" s="45" t="s">
        <v>167</v>
      </c>
      <c r="E208" s="46">
        <v>1839.0</v>
      </c>
      <c r="F208" s="47">
        <v>920.0</v>
      </c>
      <c r="G208" s="31">
        <v>45773.0</v>
      </c>
      <c r="H208" s="45" t="s">
        <v>466</v>
      </c>
    </row>
    <row r="209" ht="15.75" customHeight="1">
      <c r="A209" s="45"/>
      <c r="B209" s="45" t="s">
        <v>467</v>
      </c>
      <c r="C209" s="45" t="s">
        <v>468</v>
      </c>
      <c r="D209" s="45" t="s">
        <v>167</v>
      </c>
      <c r="E209" s="46">
        <v>1226.0</v>
      </c>
      <c r="F209" s="47">
        <v>1226.0</v>
      </c>
      <c r="G209" s="31">
        <v>45775.0</v>
      </c>
      <c r="H209" s="45" t="s">
        <v>460</v>
      </c>
    </row>
    <row r="210" ht="15.75" customHeight="1">
      <c r="A210" s="45"/>
      <c r="B210" s="45" t="s">
        <v>469</v>
      </c>
      <c r="C210" s="45" t="s">
        <v>470</v>
      </c>
      <c r="D210" s="45" t="s">
        <v>122</v>
      </c>
      <c r="E210" s="46">
        <v>824.0</v>
      </c>
      <c r="F210" s="47">
        <v>824.0</v>
      </c>
      <c r="G210" s="31">
        <v>45777.0</v>
      </c>
      <c r="H210" s="45" t="s">
        <v>471</v>
      </c>
    </row>
    <row r="211" ht="15.75" customHeight="1">
      <c r="A211" s="45"/>
      <c r="B211" s="45" t="s">
        <v>472</v>
      </c>
      <c r="C211" s="45" t="s">
        <v>473</v>
      </c>
      <c r="D211" s="45" t="s">
        <v>113</v>
      </c>
      <c r="E211" s="46">
        <v>1725.0</v>
      </c>
      <c r="F211" s="54">
        <v>1725.0</v>
      </c>
      <c r="G211" s="31">
        <v>45782.0</v>
      </c>
      <c r="H211" s="45" t="s">
        <v>474</v>
      </c>
    </row>
    <row r="212" ht="15.75" customHeight="1">
      <c r="A212" s="45"/>
      <c r="B212" s="45" t="s">
        <v>475</v>
      </c>
      <c r="C212" s="45" t="s">
        <v>476</v>
      </c>
      <c r="D212" s="45" t="s">
        <v>477</v>
      </c>
      <c r="E212" s="46">
        <v>6003.0</v>
      </c>
      <c r="F212" s="47">
        <v>6003.0</v>
      </c>
      <c r="G212" s="31">
        <v>45785.0</v>
      </c>
      <c r="H212" s="45" t="s">
        <v>478</v>
      </c>
    </row>
    <row r="213" ht="15.75" customHeight="1">
      <c r="A213" s="76"/>
      <c r="B213" s="45" t="s">
        <v>479</v>
      </c>
      <c r="C213" s="45" t="s">
        <v>349</v>
      </c>
      <c r="D213" s="45" t="s">
        <v>175</v>
      </c>
      <c r="E213" s="46">
        <v>1861.0</v>
      </c>
      <c r="F213" s="47">
        <v>1861.0</v>
      </c>
      <c r="G213" s="31">
        <v>45787.0</v>
      </c>
      <c r="H213" s="45" t="s">
        <v>480</v>
      </c>
    </row>
    <row r="214" ht="15.75" customHeight="1">
      <c r="A214" s="76"/>
      <c r="B214" s="45" t="s">
        <v>481</v>
      </c>
      <c r="C214" s="45" t="s">
        <v>349</v>
      </c>
      <c r="D214" s="45" t="s">
        <v>128</v>
      </c>
      <c r="E214" s="46">
        <v>1514.0</v>
      </c>
      <c r="F214" s="47">
        <v>1514.0</v>
      </c>
      <c r="G214" s="31">
        <v>45787.0</v>
      </c>
      <c r="H214" s="45" t="s">
        <v>480</v>
      </c>
    </row>
    <row r="215" ht="15.75" customHeight="1">
      <c r="A215" s="76"/>
      <c r="B215" s="45" t="s">
        <v>482</v>
      </c>
      <c r="C215" s="45" t="s">
        <v>349</v>
      </c>
      <c r="D215" s="45" t="s">
        <v>122</v>
      </c>
      <c r="E215" s="46">
        <v>1514.0</v>
      </c>
      <c r="F215" s="47">
        <v>1514.0</v>
      </c>
      <c r="G215" s="31">
        <v>45787.0</v>
      </c>
      <c r="H215" s="45" t="s">
        <v>480</v>
      </c>
    </row>
    <row r="216" ht="15.75" customHeight="1">
      <c r="A216" s="76"/>
      <c r="B216" s="45" t="s">
        <v>483</v>
      </c>
      <c r="C216" s="45" t="s">
        <v>349</v>
      </c>
      <c r="D216" s="45" t="s">
        <v>113</v>
      </c>
      <c r="E216" s="46">
        <v>1861.0</v>
      </c>
      <c r="F216" s="47">
        <v>1861.0</v>
      </c>
      <c r="G216" s="31">
        <v>45787.0</v>
      </c>
      <c r="H216" s="45" t="s">
        <v>480</v>
      </c>
    </row>
    <row r="217" ht="15.75" customHeight="1">
      <c r="A217" s="76"/>
      <c r="B217" s="45" t="s">
        <v>484</v>
      </c>
      <c r="C217" s="45" t="s">
        <v>349</v>
      </c>
      <c r="D217" s="45" t="s">
        <v>118</v>
      </c>
      <c r="E217" s="46">
        <v>2212.0</v>
      </c>
      <c r="F217" s="47">
        <v>1106.0</v>
      </c>
      <c r="G217" s="31">
        <v>45790.0</v>
      </c>
      <c r="H217" s="45" t="s">
        <v>485</v>
      </c>
    </row>
    <row r="218" ht="15.75" customHeight="1">
      <c r="A218" s="45"/>
      <c r="B218" s="45" t="s">
        <v>486</v>
      </c>
      <c r="C218" s="45" t="s">
        <v>487</v>
      </c>
      <c r="D218" s="45" t="s">
        <v>122</v>
      </c>
      <c r="E218" s="46">
        <v>898.0</v>
      </c>
      <c r="F218" s="47">
        <v>898.0</v>
      </c>
      <c r="G218" s="31">
        <v>45813.0</v>
      </c>
      <c r="H218" s="45" t="s">
        <v>488</v>
      </c>
    </row>
    <row r="219" ht="15.75" customHeight="1">
      <c r="A219" s="42"/>
      <c r="B219" s="42" t="s">
        <v>489</v>
      </c>
      <c r="C219" s="42" t="s">
        <v>490</v>
      </c>
      <c r="D219" s="42" t="s">
        <v>167</v>
      </c>
      <c r="E219" s="43">
        <v>3549.0</v>
      </c>
      <c r="F219" s="44"/>
      <c r="G219" s="27">
        <v>45818.0</v>
      </c>
      <c r="H219" s="42" t="s">
        <v>491</v>
      </c>
    </row>
    <row r="220" ht="15.75" customHeight="1">
      <c r="A220" s="45"/>
      <c r="B220" s="45" t="s">
        <v>492</v>
      </c>
      <c r="C220" s="45" t="s">
        <v>493</v>
      </c>
      <c r="D220" s="45" t="s">
        <v>122</v>
      </c>
      <c r="E220" s="46">
        <v>897.0</v>
      </c>
      <c r="F220" s="47">
        <v>897.0</v>
      </c>
      <c r="G220" s="31">
        <v>45825.0</v>
      </c>
      <c r="H220" s="45" t="s">
        <v>114</v>
      </c>
    </row>
    <row r="221" ht="15.75" customHeight="1">
      <c r="A221" s="45"/>
      <c r="B221" s="45" t="s">
        <v>494</v>
      </c>
      <c r="C221" s="45" t="s">
        <v>495</v>
      </c>
      <c r="D221" s="45" t="s">
        <v>113</v>
      </c>
      <c r="E221" s="46">
        <v>319.0</v>
      </c>
      <c r="F221" s="47">
        <v>319.0</v>
      </c>
      <c r="G221" s="31">
        <v>45825.0</v>
      </c>
      <c r="H221" s="45" t="s">
        <v>114</v>
      </c>
    </row>
    <row r="222" ht="15.75" customHeight="1">
      <c r="A222" s="42"/>
      <c r="B222" s="42" t="s">
        <v>496</v>
      </c>
      <c r="C222" s="42" t="s">
        <v>497</v>
      </c>
      <c r="D222" s="42" t="s">
        <v>113</v>
      </c>
      <c r="E222" s="43">
        <v>300.0</v>
      </c>
      <c r="F222" s="44"/>
      <c r="G222" s="27">
        <v>45826.0</v>
      </c>
      <c r="H222" s="42" t="s">
        <v>445</v>
      </c>
    </row>
    <row r="223" ht="15.75" customHeight="1">
      <c r="A223" s="76"/>
      <c r="B223" s="45" t="s">
        <v>498</v>
      </c>
      <c r="C223" s="45" t="s">
        <v>499</v>
      </c>
      <c r="D223" s="45" t="s">
        <v>113</v>
      </c>
      <c r="E223" s="46">
        <v>7957.0</v>
      </c>
      <c r="F223" s="47">
        <v>7957.0</v>
      </c>
      <c r="G223" s="31">
        <v>45839.0</v>
      </c>
      <c r="H223" s="45" t="s">
        <v>500</v>
      </c>
    </row>
    <row r="224" ht="15.75" customHeight="1">
      <c r="A224" s="45"/>
      <c r="B224" s="45" t="s">
        <v>501</v>
      </c>
      <c r="C224" s="45" t="s">
        <v>502</v>
      </c>
      <c r="D224" s="45" t="s">
        <v>113</v>
      </c>
      <c r="E224" s="46">
        <v>319.0</v>
      </c>
      <c r="F224" s="54">
        <v>319.0</v>
      </c>
      <c r="G224" s="31">
        <v>45839.0</v>
      </c>
      <c r="H224" s="45" t="s">
        <v>114</v>
      </c>
    </row>
    <row r="225" ht="15.75" customHeight="1">
      <c r="A225" s="45"/>
      <c r="B225" s="45" t="s">
        <v>503</v>
      </c>
      <c r="C225" s="45" t="s">
        <v>504</v>
      </c>
      <c r="D225" s="45" t="s">
        <v>167</v>
      </c>
      <c r="E225" s="46">
        <v>399.0</v>
      </c>
      <c r="F225" s="54">
        <v>399.0</v>
      </c>
      <c r="G225" s="31">
        <v>45846.0</v>
      </c>
      <c r="H225" s="45" t="s">
        <v>114</v>
      </c>
    </row>
    <row r="226" ht="15.75" customHeight="1">
      <c r="A226" s="45"/>
      <c r="B226" s="45" t="s">
        <v>505</v>
      </c>
      <c r="C226" s="45" t="s">
        <v>487</v>
      </c>
      <c r="D226" s="45" t="s">
        <v>128</v>
      </c>
      <c r="E226" s="46">
        <v>852.0</v>
      </c>
      <c r="F226" s="47">
        <v>852.0</v>
      </c>
      <c r="G226" s="31">
        <v>45847.0</v>
      </c>
      <c r="H226" s="45" t="s">
        <v>434</v>
      </c>
    </row>
    <row r="227" ht="15.75" customHeight="1">
      <c r="A227" s="68"/>
      <c r="B227" s="68" t="s">
        <v>506</v>
      </c>
      <c r="C227" s="45" t="s">
        <v>507</v>
      </c>
      <c r="D227" s="45" t="s">
        <v>23</v>
      </c>
      <c r="E227" s="46">
        <v>597.0</v>
      </c>
      <c r="F227" s="47">
        <v>597.0</v>
      </c>
      <c r="G227" s="31">
        <v>45853.0</v>
      </c>
      <c r="H227" s="45" t="s">
        <v>437</v>
      </c>
    </row>
    <row r="228" ht="15.75" customHeight="1">
      <c r="A228" s="42"/>
      <c r="B228" s="42" t="s">
        <v>508</v>
      </c>
      <c r="C228" s="42" t="s">
        <v>509</v>
      </c>
      <c r="D228" s="42" t="s">
        <v>122</v>
      </c>
      <c r="E228" s="43">
        <v>1176.0</v>
      </c>
      <c r="F228" s="44"/>
      <c r="G228" s="27">
        <v>45855.0</v>
      </c>
      <c r="H228" s="42" t="s">
        <v>510</v>
      </c>
    </row>
    <row r="229" ht="15.75" customHeight="1">
      <c r="A229" s="45"/>
      <c r="B229" s="45" t="s">
        <v>511</v>
      </c>
      <c r="C229" s="45" t="s">
        <v>512</v>
      </c>
      <c r="D229" s="45" t="s">
        <v>122</v>
      </c>
      <c r="E229" s="46">
        <v>597.0</v>
      </c>
      <c r="F229" s="47">
        <v>597.0</v>
      </c>
      <c r="G229" s="31">
        <v>45856.0</v>
      </c>
      <c r="H229" s="45" t="s">
        <v>437</v>
      </c>
    </row>
    <row r="230" ht="15.75" customHeight="1">
      <c r="A230" s="76"/>
      <c r="B230" s="45" t="s">
        <v>513</v>
      </c>
      <c r="C230" s="45" t="s">
        <v>514</v>
      </c>
      <c r="D230" s="45" t="s">
        <v>65</v>
      </c>
      <c r="E230" s="46">
        <v>9002.0</v>
      </c>
      <c r="F230" s="47">
        <v>9002.0</v>
      </c>
      <c r="G230" s="31">
        <v>45874.0</v>
      </c>
      <c r="H230" s="45" t="s">
        <v>515</v>
      </c>
    </row>
    <row r="231" ht="15.75" customHeight="1">
      <c r="A231" s="76"/>
      <c r="B231" s="45" t="s">
        <v>516</v>
      </c>
      <c r="C231" s="45" t="s">
        <v>517</v>
      </c>
      <c r="D231" s="45" t="s">
        <v>167</v>
      </c>
      <c r="E231" s="46">
        <v>14378.0</v>
      </c>
      <c r="F231" s="54">
        <v>14378.0</v>
      </c>
      <c r="G231" s="31">
        <v>45875.0</v>
      </c>
      <c r="H231" s="45" t="s">
        <v>518</v>
      </c>
    </row>
    <row r="232" ht="15.75" customHeight="1">
      <c r="A232" s="45"/>
      <c r="B232" s="45" t="s">
        <v>519</v>
      </c>
      <c r="C232" s="45" t="s">
        <v>520</v>
      </c>
      <c r="D232" s="45" t="s">
        <v>113</v>
      </c>
      <c r="E232" s="46">
        <v>638.0</v>
      </c>
      <c r="F232" s="47">
        <v>638.0</v>
      </c>
      <c r="G232" s="31">
        <v>45877.0</v>
      </c>
      <c r="H232" s="45" t="s">
        <v>114</v>
      </c>
    </row>
    <row r="233" ht="15.75" customHeight="1">
      <c r="A233" s="42"/>
      <c r="B233" s="42" t="s">
        <v>521</v>
      </c>
      <c r="C233" s="42" t="s">
        <v>522</v>
      </c>
      <c r="D233" s="42" t="s">
        <v>122</v>
      </c>
      <c r="E233" s="43">
        <v>599.0</v>
      </c>
      <c r="F233" s="44"/>
      <c r="G233" s="27">
        <v>45877.0</v>
      </c>
      <c r="H233" s="42" t="s">
        <v>187</v>
      </c>
    </row>
    <row r="234" ht="15.75" customHeight="1">
      <c r="A234" s="45"/>
      <c r="B234" s="45" t="s">
        <v>523</v>
      </c>
      <c r="C234" s="45" t="s">
        <v>524</v>
      </c>
      <c r="D234" s="45" t="s">
        <v>128</v>
      </c>
      <c r="E234" s="46">
        <v>1461.0</v>
      </c>
      <c r="F234" s="47">
        <v>1461.0</v>
      </c>
      <c r="G234" s="31">
        <v>45878.0</v>
      </c>
      <c r="H234" s="45" t="s">
        <v>114</v>
      </c>
    </row>
    <row r="235" ht="15.75" customHeight="1">
      <c r="A235" s="45"/>
      <c r="B235" s="45" t="s">
        <v>525</v>
      </c>
      <c r="C235" s="45" t="s">
        <v>526</v>
      </c>
      <c r="D235" s="45" t="s">
        <v>113</v>
      </c>
      <c r="E235" s="46">
        <v>599.0</v>
      </c>
      <c r="F235" s="47">
        <v>599.0</v>
      </c>
      <c r="G235" s="31">
        <v>45879.0</v>
      </c>
      <c r="H235" s="45" t="s">
        <v>445</v>
      </c>
    </row>
    <row r="236" ht="15.75" customHeight="1">
      <c r="A236" s="45"/>
      <c r="B236" s="45" t="s">
        <v>527</v>
      </c>
      <c r="C236" s="45" t="s">
        <v>528</v>
      </c>
      <c r="D236" s="45" t="s">
        <v>113</v>
      </c>
      <c r="E236" s="46">
        <v>599.0</v>
      </c>
      <c r="F236" s="47">
        <v>599.0</v>
      </c>
      <c r="G236" s="31">
        <v>45883.0</v>
      </c>
      <c r="H236" s="45" t="s">
        <v>114</v>
      </c>
    </row>
    <row r="237" ht="15.75" customHeight="1">
      <c r="A237" s="42"/>
      <c r="B237" s="42" t="s">
        <v>529</v>
      </c>
      <c r="C237" s="42" t="s">
        <v>530</v>
      </c>
      <c r="D237" s="42" t="s">
        <v>113</v>
      </c>
      <c r="E237" s="43">
        <v>599.0</v>
      </c>
      <c r="F237" s="44"/>
      <c r="G237" s="27">
        <v>45883.0</v>
      </c>
      <c r="H237" s="42" t="s">
        <v>181</v>
      </c>
    </row>
    <row r="238" ht="15.75" customHeight="1">
      <c r="A238" s="42"/>
      <c r="B238" s="42" t="s">
        <v>531</v>
      </c>
      <c r="C238" s="42" t="s">
        <v>530</v>
      </c>
      <c r="D238" s="42" t="s">
        <v>175</v>
      </c>
      <c r="E238" s="43">
        <v>599.0</v>
      </c>
      <c r="F238" s="44"/>
      <c r="G238" s="27">
        <v>45883.0</v>
      </c>
      <c r="H238" s="42" t="s">
        <v>119</v>
      </c>
    </row>
    <row r="239" ht="15.75" customHeight="1">
      <c r="A239" s="45"/>
      <c r="B239" s="45" t="s">
        <v>532</v>
      </c>
      <c r="C239" s="45" t="s">
        <v>530</v>
      </c>
      <c r="D239" s="45" t="s">
        <v>185</v>
      </c>
      <c r="E239" s="46">
        <v>1128.0</v>
      </c>
      <c r="F239" s="47">
        <v>1128.0</v>
      </c>
      <c r="G239" s="31">
        <v>45884.0</v>
      </c>
      <c r="H239" s="45" t="s">
        <v>445</v>
      </c>
    </row>
    <row r="240" ht="15.75" customHeight="1">
      <c r="A240" s="45"/>
      <c r="B240" s="45" t="s">
        <v>427</v>
      </c>
      <c r="C240" s="45" t="s">
        <v>533</v>
      </c>
      <c r="D240" s="45" t="s">
        <v>113</v>
      </c>
      <c r="E240" s="46">
        <v>599.0</v>
      </c>
      <c r="F240" s="54">
        <v>599.0</v>
      </c>
      <c r="G240" s="31">
        <v>45885.0</v>
      </c>
      <c r="H240" s="45" t="s">
        <v>328</v>
      </c>
    </row>
    <row r="241" ht="15.75" customHeight="1">
      <c r="A241" s="45"/>
      <c r="B241" s="45" t="s">
        <v>534</v>
      </c>
      <c r="C241" s="45" t="s">
        <v>530</v>
      </c>
      <c r="D241" s="45" t="s">
        <v>128</v>
      </c>
      <c r="E241" s="46">
        <v>599.0</v>
      </c>
      <c r="F241" s="47">
        <v>599.0</v>
      </c>
      <c r="G241" s="31">
        <v>45885.0</v>
      </c>
      <c r="H241" s="45" t="s">
        <v>114</v>
      </c>
    </row>
    <row r="242" ht="15.75" customHeight="1">
      <c r="A242" s="76"/>
      <c r="B242" s="45" t="s">
        <v>535</v>
      </c>
      <c r="C242" s="45" t="s">
        <v>536</v>
      </c>
      <c r="D242" s="45" t="s">
        <v>118</v>
      </c>
      <c r="E242" s="46">
        <v>11707.0</v>
      </c>
      <c r="F242" s="54">
        <v>11707.0</v>
      </c>
      <c r="G242" s="31">
        <v>45888.0</v>
      </c>
      <c r="H242" s="45" t="s">
        <v>114</v>
      </c>
    </row>
    <row r="243" ht="15.75" customHeight="1">
      <c r="A243" s="42"/>
      <c r="B243" s="42" t="s">
        <v>537</v>
      </c>
      <c r="C243" s="42" t="s">
        <v>538</v>
      </c>
      <c r="D243" s="42" t="s">
        <v>113</v>
      </c>
      <c r="E243" s="43">
        <v>958.0</v>
      </c>
      <c r="F243" s="44"/>
      <c r="G243" s="27">
        <v>45892.0</v>
      </c>
      <c r="H243" s="42" t="s">
        <v>114</v>
      </c>
    </row>
    <row r="244" ht="15.75" customHeight="1">
      <c r="A244" s="45"/>
      <c r="B244" s="45" t="s">
        <v>539</v>
      </c>
      <c r="C244" s="45" t="s">
        <v>533</v>
      </c>
      <c r="D244" s="45" t="s">
        <v>122</v>
      </c>
      <c r="E244" s="46">
        <v>599.0</v>
      </c>
      <c r="F244" s="47">
        <v>599.0</v>
      </c>
      <c r="G244" s="31">
        <v>45891.0</v>
      </c>
      <c r="H244" s="45" t="s">
        <v>114</v>
      </c>
    </row>
    <row r="245" ht="15.75" customHeight="1">
      <c r="A245" s="45"/>
      <c r="B245" s="45" t="s">
        <v>540</v>
      </c>
      <c r="C245" s="45" t="s">
        <v>541</v>
      </c>
      <c r="D245" s="45" t="s">
        <v>118</v>
      </c>
      <c r="E245" s="46">
        <v>5371.0</v>
      </c>
      <c r="F245" s="47">
        <v>5371.0</v>
      </c>
      <c r="G245" s="31">
        <v>45903.0</v>
      </c>
      <c r="H245" s="45" t="s">
        <v>114</v>
      </c>
    </row>
    <row r="246" ht="15.75" customHeight="1">
      <c r="A246" s="45"/>
      <c r="B246" s="45" t="s">
        <v>540</v>
      </c>
      <c r="C246" s="45" t="s">
        <v>541</v>
      </c>
      <c r="D246" s="45" t="s">
        <v>175</v>
      </c>
      <c r="E246" s="46">
        <v>4247.0</v>
      </c>
      <c r="F246" s="47">
        <v>4247.0</v>
      </c>
      <c r="G246" s="31">
        <v>45903.0</v>
      </c>
      <c r="H246" s="45" t="s">
        <v>114</v>
      </c>
    </row>
    <row r="247" ht="15.75" customHeight="1">
      <c r="A247" s="45"/>
      <c r="B247" s="45" t="s">
        <v>542</v>
      </c>
      <c r="C247" s="45" t="s">
        <v>543</v>
      </c>
      <c r="D247" s="45" t="s">
        <v>113</v>
      </c>
      <c r="E247" s="46">
        <v>699.0</v>
      </c>
      <c r="F247" s="47">
        <v>350.0</v>
      </c>
      <c r="G247" s="31">
        <v>45895.0</v>
      </c>
      <c r="H247" s="45" t="s">
        <v>114</v>
      </c>
    </row>
    <row r="248" ht="15.75" customHeight="1">
      <c r="A248" s="76"/>
      <c r="B248" s="45" t="s">
        <v>544</v>
      </c>
      <c r="C248" s="45" t="s">
        <v>545</v>
      </c>
      <c r="D248" s="45" t="s">
        <v>128</v>
      </c>
      <c r="E248" s="46">
        <v>980.0</v>
      </c>
      <c r="F248" s="54">
        <v>980.0</v>
      </c>
      <c r="G248" s="31">
        <v>45895.0</v>
      </c>
      <c r="H248" s="45" t="s">
        <v>114</v>
      </c>
    </row>
    <row r="249" ht="15.75" customHeight="1">
      <c r="A249" s="68"/>
      <c r="B249" s="68" t="s">
        <v>546</v>
      </c>
      <c r="C249" s="45" t="s">
        <v>547</v>
      </c>
      <c r="D249" s="45" t="s">
        <v>128</v>
      </c>
      <c r="E249" s="46">
        <v>1058.0</v>
      </c>
      <c r="F249" s="47">
        <v>1058.0</v>
      </c>
      <c r="G249" s="31">
        <v>45895.0</v>
      </c>
      <c r="H249" s="45" t="s">
        <v>114</v>
      </c>
    </row>
    <row r="250" ht="15.75" customHeight="1">
      <c r="A250" s="45"/>
      <c r="B250" s="45" t="s">
        <v>548</v>
      </c>
      <c r="C250" s="45" t="s">
        <v>549</v>
      </c>
      <c r="D250" s="45" t="s">
        <v>153</v>
      </c>
      <c r="E250" s="46">
        <v>299.5</v>
      </c>
      <c r="F250" s="47">
        <v>299.5</v>
      </c>
      <c r="G250" s="31">
        <v>45896.0</v>
      </c>
      <c r="H250" s="45" t="s">
        <v>114</v>
      </c>
    </row>
    <row r="251" ht="15.75" customHeight="1">
      <c r="A251" s="45"/>
      <c r="B251" s="45" t="s">
        <v>548</v>
      </c>
      <c r="C251" s="45" t="s">
        <v>549</v>
      </c>
      <c r="D251" s="45" t="s">
        <v>113</v>
      </c>
      <c r="E251" s="46">
        <v>299.5</v>
      </c>
      <c r="F251" s="47">
        <v>299.5</v>
      </c>
      <c r="G251" s="31">
        <v>45896.0</v>
      </c>
      <c r="H251" s="45" t="s">
        <v>114</v>
      </c>
    </row>
    <row r="252" ht="15.75" customHeight="1">
      <c r="A252" s="45"/>
      <c r="B252" s="45" t="s">
        <v>540</v>
      </c>
      <c r="C252" s="45" t="s">
        <v>550</v>
      </c>
      <c r="D252" s="45" t="s">
        <v>167</v>
      </c>
      <c r="E252" s="46">
        <v>2154.0</v>
      </c>
      <c r="F252" s="47">
        <v>2154.0</v>
      </c>
      <c r="G252" s="31">
        <v>45897.0</v>
      </c>
      <c r="H252" s="45" t="s">
        <v>114</v>
      </c>
    </row>
    <row r="253" ht="15.75" customHeight="1">
      <c r="A253" s="76"/>
      <c r="B253" s="45" t="s">
        <v>40</v>
      </c>
      <c r="C253" s="45" t="s">
        <v>551</v>
      </c>
      <c r="D253" s="45" t="s">
        <v>167</v>
      </c>
      <c r="E253" s="46">
        <v>1998.0</v>
      </c>
      <c r="F253" s="54">
        <v>1998.0</v>
      </c>
      <c r="G253" s="31">
        <v>45901.0</v>
      </c>
      <c r="H253" s="45" t="s">
        <v>552</v>
      </c>
    </row>
    <row r="254" ht="15.75" customHeight="1">
      <c r="A254" s="45"/>
      <c r="B254" s="45" t="s">
        <v>553</v>
      </c>
      <c r="C254" s="45" t="s">
        <v>554</v>
      </c>
      <c r="D254" s="45" t="s">
        <v>175</v>
      </c>
      <c r="E254" s="46">
        <v>698.0</v>
      </c>
      <c r="F254" s="54">
        <v>698.0</v>
      </c>
      <c r="G254" s="31">
        <v>45901.0</v>
      </c>
      <c r="H254" s="45" t="s">
        <v>114</v>
      </c>
    </row>
    <row r="255" ht="15.75" customHeight="1">
      <c r="A255" s="42"/>
      <c r="B255" s="42" t="s">
        <v>555</v>
      </c>
      <c r="C255" s="42" t="s">
        <v>556</v>
      </c>
      <c r="D255" s="42" t="s">
        <v>128</v>
      </c>
      <c r="E255" s="43">
        <v>786.0</v>
      </c>
      <c r="F255" s="44"/>
      <c r="G255" s="27">
        <v>45904.0</v>
      </c>
      <c r="H255" s="42" t="s">
        <v>557</v>
      </c>
    </row>
    <row r="256" ht="15.75" customHeight="1">
      <c r="A256" s="45"/>
      <c r="B256" s="45" t="s">
        <v>558</v>
      </c>
      <c r="C256" s="45" t="s">
        <v>559</v>
      </c>
      <c r="D256" s="45" t="s">
        <v>122</v>
      </c>
      <c r="E256" s="46">
        <v>699.0</v>
      </c>
      <c r="F256" s="47">
        <v>699.0</v>
      </c>
      <c r="G256" s="31">
        <v>45904.0</v>
      </c>
      <c r="H256" s="45" t="s">
        <v>560</v>
      </c>
    </row>
    <row r="257" ht="15.75" customHeight="1">
      <c r="A257" s="45"/>
      <c r="B257" s="45" t="s">
        <v>561</v>
      </c>
      <c r="C257" s="45" t="s">
        <v>562</v>
      </c>
      <c r="D257" s="45" t="s">
        <v>128</v>
      </c>
      <c r="E257" s="46">
        <v>747.0</v>
      </c>
      <c r="F257" s="47">
        <v>249.0</v>
      </c>
      <c r="G257" s="31">
        <v>45904.0</v>
      </c>
      <c r="H257" s="45" t="s">
        <v>563</v>
      </c>
    </row>
    <row r="258" ht="15.75" customHeight="1">
      <c r="A258" s="45"/>
      <c r="B258" s="45" t="s">
        <v>564</v>
      </c>
      <c r="C258" s="45" t="s">
        <v>528</v>
      </c>
      <c r="D258" s="45" t="s">
        <v>122</v>
      </c>
      <c r="E258" s="46">
        <v>747.0</v>
      </c>
      <c r="F258" s="47">
        <v>747.0</v>
      </c>
      <c r="G258" s="31">
        <v>45903.0</v>
      </c>
      <c r="H258" s="45" t="s">
        <v>563</v>
      </c>
      <c r="I258" s="2" t="s">
        <v>565</v>
      </c>
    </row>
    <row r="259" ht="15.75" customHeight="1">
      <c r="A259" s="45"/>
      <c r="B259" s="45" t="s">
        <v>566</v>
      </c>
      <c r="C259" s="45" t="s">
        <v>567</v>
      </c>
      <c r="D259" s="45" t="s">
        <v>175</v>
      </c>
      <c r="E259" s="46">
        <v>699.0</v>
      </c>
      <c r="F259" s="47">
        <v>699.0</v>
      </c>
      <c r="G259" s="31">
        <v>45904.0</v>
      </c>
      <c r="H259" s="45" t="s">
        <v>114</v>
      </c>
    </row>
    <row r="260" ht="15.75" customHeight="1">
      <c r="A260" s="45"/>
      <c r="B260" s="45" t="s">
        <v>566</v>
      </c>
      <c r="C260" s="45" t="s">
        <v>567</v>
      </c>
      <c r="D260" s="45" t="s">
        <v>128</v>
      </c>
      <c r="E260" s="46">
        <v>699.0</v>
      </c>
      <c r="F260" s="47">
        <v>699.0</v>
      </c>
      <c r="G260" s="31">
        <v>45904.0</v>
      </c>
      <c r="H260" s="45" t="s">
        <v>114</v>
      </c>
    </row>
    <row r="261" ht="15.75" customHeight="1">
      <c r="A261" s="69"/>
      <c r="B261" s="69" t="s">
        <v>568</v>
      </c>
      <c r="C261" s="42" t="s">
        <v>569</v>
      </c>
      <c r="D261" s="42" t="s">
        <v>175</v>
      </c>
      <c r="E261" s="43">
        <v>349.0</v>
      </c>
      <c r="F261" s="26" t="s">
        <v>32</v>
      </c>
      <c r="G261" s="27">
        <v>45905.0</v>
      </c>
      <c r="H261" s="42" t="s">
        <v>181</v>
      </c>
    </row>
    <row r="262" ht="15.75" customHeight="1">
      <c r="A262" s="45"/>
      <c r="B262" s="45" t="s">
        <v>570</v>
      </c>
      <c r="C262" s="45" t="s">
        <v>571</v>
      </c>
      <c r="D262" s="45" t="s">
        <v>128</v>
      </c>
      <c r="E262" s="46">
        <v>1468.0</v>
      </c>
      <c r="F262" s="47">
        <v>1468.0</v>
      </c>
      <c r="G262" s="31">
        <v>45905.0</v>
      </c>
      <c r="H262" s="45" t="s">
        <v>114</v>
      </c>
    </row>
    <row r="263" ht="15.75" customHeight="1">
      <c r="A263" s="45"/>
      <c r="B263" s="45" t="s">
        <v>572</v>
      </c>
      <c r="C263" s="45" t="s">
        <v>543</v>
      </c>
      <c r="D263" s="45" t="s">
        <v>122</v>
      </c>
      <c r="E263" s="46">
        <v>699.0</v>
      </c>
      <c r="F263" s="47">
        <v>699.0</v>
      </c>
      <c r="G263" s="31">
        <v>45905.0</v>
      </c>
      <c r="H263" s="45" t="s">
        <v>114</v>
      </c>
    </row>
    <row r="264" ht="15.75" customHeight="1">
      <c r="A264" s="69"/>
      <c r="B264" s="69" t="s">
        <v>573</v>
      </c>
      <c r="C264" s="42" t="s">
        <v>574</v>
      </c>
      <c r="D264" s="42" t="s">
        <v>122</v>
      </c>
      <c r="E264" s="43">
        <v>1170.0</v>
      </c>
      <c r="F264" s="44"/>
      <c r="G264" s="27">
        <v>45906.0</v>
      </c>
      <c r="H264" s="42" t="s">
        <v>181</v>
      </c>
    </row>
    <row r="265" ht="15.75" customHeight="1">
      <c r="A265" s="45"/>
      <c r="B265" s="45" t="s">
        <v>575</v>
      </c>
      <c r="C265" s="45" t="s">
        <v>554</v>
      </c>
      <c r="D265" s="45" t="s">
        <v>113</v>
      </c>
      <c r="E265" s="46">
        <v>699.0</v>
      </c>
      <c r="F265" s="47">
        <v>699.0</v>
      </c>
      <c r="G265" s="31">
        <v>45908.0</v>
      </c>
      <c r="H265" s="45" t="s">
        <v>114</v>
      </c>
    </row>
    <row r="266" ht="15.75" customHeight="1">
      <c r="A266" s="42"/>
      <c r="B266" s="42" t="s">
        <v>576</v>
      </c>
      <c r="C266" s="42" t="s">
        <v>577</v>
      </c>
      <c r="D266" s="42" t="s">
        <v>128</v>
      </c>
      <c r="E266" s="43">
        <v>4290.0</v>
      </c>
      <c r="F266" s="26" t="s">
        <v>119</v>
      </c>
      <c r="G266" s="27">
        <v>45915.0</v>
      </c>
      <c r="H266" s="42" t="s">
        <v>578</v>
      </c>
    </row>
    <row r="267" ht="15.75" customHeight="1">
      <c r="A267" s="45"/>
      <c r="B267" s="45" t="s">
        <v>579</v>
      </c>
      <c r="C267" s="45" t="s">
        <v>569</v>
      </c>
      <c r="D267" s="45" t="s">
        <v>128</v>
      </c>
      <c r="E267" s="46">
        <v>367.0</v>
      </c>
      <c r="F267" s="47">
        <v>367.0</v>
      </c>
      <c r="G267" s="31">
        <v>45909.0</v>
      </c>
      <c r="H267" s="45" t="s">
        <v>580</v>
      </c>
    </row>
    <row r="268" ht="15.75" customHeight="1">
      <c r="A268" s="42"/>
      <c r="B268" s="42" t="s">
        <v>581</v>
      </c>
      <c r="C268" s="42" t="s">
        <v>554</v>
      </c>
      <c r="D268" s="42" t="s">
        <v>153</v>
      </c>
      <c r="E268" s="43">
        <v>699.0</v>
      </c>
      <c r="F268" s="26" t="s">
        <v>32</v>
      </c>
      <c r="G268" s="27">
        <v>45910.0</v>
      </c>
      <c r="H268" s="42" t="s">
        <v>582</v>
      </c>
    </row>
    <row r="269" ht="15.75" customHeight="1">
      <c r="A269" s="45"/>
      <c r="B269" s="45" t="s">
        <v>583</v>
      </c>
      <c r="C269" s="45" t="s">
        <v>584</v>
      </c>
      <c r="D269" s="45" t="s">
        <v>128</v>
      </c>
      <c r="E269" s="46">
        <v>699.0</v>
      </c>
      <c r="F269" s="47">
        <v>349.5</v>
      </c>
      <c r="G269" s="31">
        <v>45911.0</v>
      </c>
      <c r="H269" s="45" t="s">
        <v>114</v>
      </c>
    </row>
    <row r="270" ht="15.75" customHeight="1">
      <c r="A270" s="45"/>
      <c r="B270" s="45" t="s">
        <v>540</v>
      </c>
      <c r="C270" s="45" t="s">
        <v>585</v>
      </c>
      <c r="D270" s="45" t="s">
        <v>153</v>
      </c>
      <c r="E270" s="46">
        <v>1914.0</v>
      </c>
      <c r="F270" s="47">
        <v>1914.0</v>
      </c>
      <c r="G270" s="40"/>
      <c r="H270" s="45" t="s">
        <v>114</v>
      </c>
    </row>
    <row r="271" ht="15.75" customHeight="1">
      <c r="A271" s="45"/>
      <c r="B271" s="45" t="s">
        <v>586</v>
      </c>
      <c r="C271" s="45" t="s">
        <v>585</v>
      </c>
      <c r="D271" s="45" t="s">
        <v>118</v>
      </c>
      <c r="E271" s="46">
        <v>4631.0</v>
      </c>
      <c r="F271" s="47">
        <v>4631.0</v>
      </c>
      <c r="G271" s="40"/>
      <c r="H271" s="45" t="s">
        <v>114</v>
      </c>
      <c r="I271" s="2"/>
    </row>
    <row r="272" ht="15.75" customHeight="1">
      <c r="A272" s="45"/>
      <c r="B272" s="45" t="s">
        <v>586</v>
      </c>
      <c r="C272" s="45" t="s">
        <v>585</v>
      </c>
      <c r="D272" s="45" t="s">
        <v>167</v>
      </c>
      <c r="E272" s="46">
        <v>3670.0</v>
      </c>
      <c r="F272" s="47">
        <v>3670.0</v>
      </c>
      <c r="G272" s="40"/>
      <c r="H272" s="45" t="s">
        <v>114</v>
      </c>
      <c r="I272" s="2"/>
    </row>
    <row r="273" ht="15.75" customHeight="1">
      <c r="A273" s="45"/>
      <c r="B273" s="45" t="s">
        <v>587</v>
      </c>
      <c r="C273" s="45" t="s">
        <v>588</v>
      </c>
      <c r="D273" s="45" t="s">
        <v>185</v>
      </c>
      <c r="E273" s="46">
        <v>1520.0</v>
      </c>
      <c r="F273" s="47">
        <v>1520.0</v>
      </c>
      <c r="G273" s="31">
        <v>45910.0</v>
      </c>
      <c r="H273" s="45" t="s">
        <v>431</v>
      </c>
    </row>
    <row r="274" ht="15.75" customHeight="1">
      <c r="A274" s="45"/>
      <c r="B274" s="45" t="s">
        <v>589</v>
      </c>
      <c r="C274" s="45" t="s">
        <v>559</v>
      </c>
      <c r="D274" s="45" t="s">
        <v>153</v>
      </c>
      <c r="E274" s="46">
        <v>699.0</v>
      </c>
      <c r="F274" s="47">
        <v>699.0</v>
      </c>
      <c r="G274" s="31">
        <v>45915.0</v>
      </c>
      <c r="H274" s="45" t="s">
        <v>437</v>
      </c>
    </row>
    <row r="275" ht="15.75" customHeight="1">
      <c r="A275" s="42"/>
      <c r="B275" s="42" t="s">
        <v>590</v>
      </c>
      <c r="C275" s="42" t="s">
        <v>562</v>
      </c>
      <c r="D275" s="42" t="s">
        <v>167</v>
      </c>
      <c r="E275" s="43">
        <v>798.0</v>
      </c>
      <c r="F275" s="26" t="s">
        <v>119</v>
      </c>
      <c r="G275" s="27">
        <v>45915.0</v>
      </c>
      <c r="H275" s="42" t="s">
        <v>114</v>
      </c>
    </row>
    <row r="276" ht="15.75" customHeight="1">
      <c r="A276" s="45"/>
      <c r="B276" s="45" t="s">
        <v>591</v>
      </c>
      <c r="C276" s="45" t="s">
        <v>592</v>
      </c>
      <c r="D276" s="45" t="s">
        <v>185</v>
      </c>
      <c r="E276" s="46">
        <v>1586.0</v>
      </c>
      <c r="F276" s="47">
        <v>1586.0</v>
      </c>
      <c r="G276" s="31">
        <v>45918.0</v>
      </c>
      <c r="H276" s="45" t="s">
        <v>434</v>
      </c>
    </row>
    <row r="277" ht="15.75" customHeight="1">
      <c r="A277" s="42"/>
      <c r="B277" s="42" t="s">
        <v>593</v>
      </c>
      <c r="C277" s="42" t="s">
        <v>594</v>
      </c>
      <c r="D277" s="42" t="s">
        <v>113</v>
      </c>
      <c r="E277" s="43">
        <v>1686.0</v>
      </c>
      <c r="F277" s="26" t="s">
        <v>119</v>
      </c>
      <c r="G277" s="27">
        <v>45919.0</v>
      </c>
      <c r="H277" s="42" t="s">
        <v>480</v>
      </c>
    </row>
    <row r="278" ht="15.75" customHeight="1">
      <c r="A278" s="78"/>
      <c r="B278" s="78" t="s">
        <v>595</v>
      </c>
      <c r="C278" s="45" t="s">
        <v>562</v>
      </c>
      <c r="D278" s="45" t="s">
        <v>185</v>
      </c>
      <c r="E278" s="46">
        <v>878.0</v>
      </c>
      <c r="F278" s="47">
        <v>940.0</v>
      </c>
      <c r="G278" s="31">
        <v>45918.0</v>
      </c>
      <c r="H278" s="45" t="s">
        <v>596</v>
      </c>
    </row>
    <row r="279" ht="15.75" customHeight="1">
      <c r="A279" s="45"/>
      <c r="B279" s="45" t="s">
        <v>597</v>
      </c>
      <c r="C279" s="45" t="s">
        <v>598</v>
      </c>
      <c r="D279" s="45" t="s">
        <v>128</v>
      </c>
      <c r="E279" s="46">
        <v>799.0</v>
      </c>
      <c r="F279" s="47">
        <v>855.0</v>
      </c>
      <c r="G279" s="31">
        <v>45919.0</v>
      </c>
      <c r="H279" s="45" t="s">
        <v>437</v>
      </c>
    </row>
    <row r="280" ht="15.75" customHeight="1">
      <c r="A280" s="45"/>
      <c r="B280" s="45" t="s">
        <v>540</v>
      </c>
      <c r="C280" s="45" t="s">
        <v>599</v>
      </c>
      <c r="D280" s="45" t="s">
        <v>27</v>
      </c>
      <c r="E280" s="46">
        <v>638.0</v>
      </c>
      <c r="F280" s="47">
        <v>638.0</v>
      </c>
      <c r="G280" s="31">
        <v>45923.0</v>
      </c>
      <c r="H280" s="60"/>
    </row>
    <row r="281" ht="15.75" customHeight="1">
      <c r="A281" s="45"/>
      <c r="B281" s="45" t="s">
        <v>586</v>
      </c>
      <c r="C281" s="45" t="s">
        <v>599</v>
      </c>
      <c r="D281" s="45" t="s">
        <v>153</v>
      </c>
      <c r="E281" s="46">
        <v>638.0</v>
      </c>
      <c r="F281" s="47">
        <v>638.0</v>
      </c>
      <c r="G281" s="31">
        <v>45923.0</v>
      </c>
      <c r="H281" s="60"/>
    </row>
    <row r="282" ht="15.75" customHeight="1">
      <c r="A282" s="45"/>
      <c r="B282" s="45" t="s">
        <v>586</v>
      </c>
      <c r="C282" s="45" t="s">
        <v>599</v>
      </c>
      <c r="D282" s="45" t="s">
        <v>167</v>
      </c>
      <c r="E282" s="46">
        <v>638.0</v>
      </c>
      <c r="F282" s="47">
        <v>638.0</v>
      </c>
      <c r="G282" s="31">
        <v>45923.0</v>
      </c>
      <c r="H282" s="60"/>
    </row>
    <row r="283" ht="15.75" customHeight="1">
      <c r="A283" s="45"/>
      <c r="B283" s="45" t="s">
        <v>540</v>
      </c>
      <c r="C283" s="45" t="s">
        <v>600</v>
      </c>
      <c r="D283" s="45" t="s">
        <v>27</v>
      </c>
      <c r="E283" s="46">
        <v>2233.0</v>
      </c>
      <c r="F283" s="47">
        <v>2233.0</v>
      </c>
      <c r="G283" s="40"/>
      <c r="H283" s="45" t="s">
        <v>114</v>
      </c>
      <c r="I283" s="2" t="s">
        <v>601</v>
      </c>
    </row>
    <row r="284" ht="15.75" customHeight="1">
      <c r="A284" s="45"/>
      <c r="B284" s="45" t="s">
        <v>586</v>
      </c>
      <c r="C284" s="45" t="s">
        <v>600</v>
      </c>
      <c r="D284" s="45" t="s">
        <v>153</v>
      </c>
      <c r="E284" s="46">
        <v>2233.0</v>
      </c>
      <c r="F284" s="47">
        <v>2233.0</v>
      </c>
      <c r="G284" s="40"/>
      <c r="H284" s="45" t="s">
        <v>114</v>
      </c>
    </row>
    <row r="285" ht="15.75" customHeight="1">
      <c r="A285" s="45"/>
      <c r="B285" s="45" t="s">
        <v>586</v>
      </c>
      <c r="C285" s="45" t="s">
        <v>600</v>
      </c>
      <c r="D285" s="45" t="s">
        <v>167</v>
      </c>
      <c r="E285" s="46">
        <v>2233.0</v>
      </c>
      <c r="F285" s="47">
        <v>2233.0</v>
      </c>
      <c r="G285" s="40"/>
      <c r="H285" s="45" t="s">
        <v>114</v>
      </c>
    </row>
    <row r="286" ht="15.75" customHeight="1">
      <c r="A286" s="68"/>
      <c r="B286" s="68" t="s">
        <v>602</v>
      </c>
      <c r="C286" s="45" t="s">
        <v>603</v>
      </c>
      <c r="D286" s="45" t="s">
        <v>175</v>
      </c>
      <c r="E286" s="46">
        <v>1137.0</v>
      </c>
      <c r="F286" s="47">
        <v>1137.0</v>
      </c>
      <c r="G286" s="79"/>
      <c r="H286" s="45" t="s">
        <v>114</v>
      </c>
    </row>
    <row r="287" ht="15.75" customHeight="1">
      <c r="A287" s="45"/>
      <c r="B287" s="45" t="s">
        <v>604</v>
      </c>
      <c r="C287" s="45" t="s">
        <v>592</v>
      </c>
      <c r="D287" s="45" t="s">
        <v>113</v>
      </c>
      <c r="E287" s="46">
        <v>799.0</v>
      </c>
      <c r="F287" s="54">
        <v>799.0</v>
      </c>
      <c r="G287" s="31">
        <v>45926.0</v>
      </c>
      <c r="H287" s="45" t="s">
        <v>324</v>
      </c>
    </row>
    <row r="288" ht="15.75" customHeight="1">
      <c r="A288" s="42"/>
      <c r="B288" s="42" t="s">
        <v>605</v>
      </c>
      <c r="C288" s="42" t="s">
        <v>606</v>
      </c>
      <c r="D288" s="42" t="s">
        <v>122</v>
      </c>
      <c r="E288" s="43">
        <v>799.0</v>
      </c>
      <c r="F288" s="26" t="s">
        <v>119</v>
      </c>
      <c r="G288" s="27">
        <v>45929.0</v>
      </c>
      <c r="H288" s="1" t="s">
        <v>114</v>
      </c>
    </row>
    <row r="289" ht="15.75" customHeight="1">
      <c r="A289" s="45"/>
      <c r="B289" s="45" t="s">
        <v>540</v>
      </c>
      <c r="C289" s="45" t="s">
        <v>607</v>
      </c>
      <c r="D289" s="45" t="s">
        <v>118</v>
      </c>
      <c r="E289" s="46">
        <v>638.0</v>
      </c>
      <c r="F289" s="47">
        <v>638.0</v>
      </c>
      <c r="G289" s="40"/>
      <c r="H289" s="48"/>
    </row>
    <row r="290" ht="15.75" customHeight="1">
      <c r="A290" s="45"/>
      <c r="B290" s="45" t="s">
        <v>586</v>
      </c>
      <c r="C290" s="45" t="s">
        <v>607</v>
      </c>
      <c r="D290" s="45" t="s">
        <v>153</v>
      </c>
      <c r="E290" s="46">
        <v>638.0</v>
      </c>
      <c r="F290" s="47">
        <v>638.0</v>
      </c>
      <c r="G290" s="40"/>
      <c r="H290" s="48"/>
    </row>
    <row r="291" ht="15.75" customHeight="1">
      <c r="A291" s="45"/>
      <c r="B291" s="45" t="s">
        <v>586</v>
      </c>
      <c r="C291" s="45" t="s">
        <v>607</v>
      </c>
      <c r="D291" s="45" t="s">
        <v>167</v>
      </c>
      <c r="E291" s="46">
        <v>638.0</v>
      </c>
      <c r="F291" s="47">
        <v>638.0</v>
      </c>
      <c r="G291" s="40"/>
      <c r="H291" s="48"/>
    </row>
    <row r="292" ht="15.75" customHeight="1">
      <c r="A292" s="78"/>
      <c r="B292" s="78" t="s">
        <v>608</v>
      </c>
      <c r="C292" s="45" t="s">
        <v>606</v>
      </c>
      <c r="D292" s="45" t="s">
        <v>167</v>
      </c>
      <c r="E292" s="46">
        <v>799.0</v>
      </c>
      <c r="F292" s="47">
        <v>799.0</v>
      </c>
      <c r="G292" s="31">
        <v>45932.0</v>
      </c>
      <c r="H292" s="45" t="s">
        <v>114</v>
      </c>
    </row>
    <row r="293" ht="15.75" customHeight="1">
      <c r="A293" s="45"/>
      <c r="B293" s="45" t="s">
        <v>609</v>
      </c>
      <c r="C293" s="45" t="s">
        <v>598</v>
      </c>
      <c r="D293" s="45" t="s">
        <v>153</v>
      </c>
      <c r="E293" s="46">
        <v>799.0</v>
      </c>
      <c r="F293" s="47">
        <v>855.0</v>
      </c>
      <c r="G293" s="31">
        <v>45933.0</v>
      </c>
      <c r="H293" s="45" t="s">
        <v>437</v>
      </c>
    </row>
    <row r="294" ht="15.75" customHeight="1">
      <c r="A294" s="45"/>
      <c r="B294" s="45" t="s">
        <v>540</v>
      </c>
      <c r="C294" s="45" t="s">
        <v>610</v>
      </c>
      <c r="D294" s="45" t="s">
        <v>153</v>
      </c>
      <c r="E294" s="46">
        <v>1914.0</v>
      </c>
      <c r="F294" s="47">
        <v>1914.0</v>
      </c>
      <c r="G294" s="40"/>
      <c r="H294" s="48"/>
    </row>
    <row r="295" ht="15.75" customHeight="1">
      <c r="A295" s="80"/>
      <c r="B295" s="81" t="s">
        <v>611</v>
      </c>
      <c r="C295" s="45" t="s">
        <v>612</v>
      </c>
      <c r="D295" s="45" t="s">
        <v>113</v>
      </c>
      <c r="E295" s="46">
        <v>6453.0</v>
      </c>
      <c r="F295" s="54">
        <v>6453.0</v>
      </c>
      <c r="G295" s="31">
        <v>45932.0</v>
      </c>
      <c r="H295" s="45" t="s">
        <v>613</v>
      </c>
    </row>
    <row r="296" ht="15.75" customHeight="1">
      <c r="A296" s="45"/>
      <c r="B296" s="45" t="s">
        <v>614</v>
      </c>
      <c r="C296" s="45" t="s">
        <v>615</v>
      </c>
      <c r="D296" s="45" t="s">
        <v>113</v>
      </c>
      <c r="E296" s="46">
        <v>1164.0</v>
      </c>
      <c r="F296" s="47">
        <v>1164.0</v>
      </c>
      <c r="G296" s="31">
        <v>45935.0</v>
      </c>
      <c r="H296" s="45" t="s">
        <v>480</v>
      </c>
    </row>
    <row r="297" ht="15.75" customHeight="1">
      <c r="A297" s="45"/>
      <c r="B297" s="45" t="s">
        <v>616</v>
      </c>
      <c r="C297" s="45" t="s">
        <v>617</v>
      </c>
      <c r="D297" s="45" t="s">
        <v>122</v>
      </c>
      <c r="E297" s="46">
        <v>780.0</v>
      </c>
      <c r="F297" s="47">
        <v>780.0</v>
      </c>
      <c r="G297" s="31">
        <v>45936.0</v>
      </c>
      <c r="H297" s="45" t="s">
        <v>618</v>
      </c>
    </row>
    <row r="298" ht="15.75" customHeight="1">
      <c r="A298" s="45"/>
      <c r="B298" s="45" t="s">
        <v>586</v>
      </c>
      <c r="C298" s="45" t="s">
        <v>619</v>
      </c>
      <c r="D298" s="45" t="s">
        <v>118</v>
      </c>
      <c r="E298" s="46">
        <v>638.0</v>
      </c>
      <c r="F298" s="47">
        <v>638.0</v>
      </c>
      <c r="G298" s="40"/>
      <c r="H298" s="45" t="s">
        <v>114</v>
      </c>
    </row>
    <row r="299" ht="15.75" customHeight="1">
      <c r="A299" s="45"/>
      <c r="B299" s="45" t="s">
        <v>620</v>
      </c>
      <c r="C299" s="45" t="s">
        <v>621</v>
      </c>
      <c r="D299" s="45" t="s">
        <v>122</v>
      </c>
      <c r="E299" s="46">
        <v>970.0</v>
      </c>
      <c r="F299" s="47">
        <v>970.0</v>
      </c>
      <c r="G299" s="31">
        <v>45939.0</v>
      </c>
      <c r="H299" s="45" t="s">
        <v>400</v>
      </c>
    </row>
    <row r="300" ht="15.75" customHeight="1">
      <c r="A300" s="45"/>
      <c r="B300" s="45" t="s">
        <v>622</v>
      </c>
      <c r="C300" s="45" t="s">
        <v>623</v>
      </c>
      <c r="D300" s="45" t="s">
        <v>122</v>
      </c>
      <c r="E300" s="46">
        <v>799.0</v>
      </c>
      <c r="F300" s="47">
        <v>799.0</v>
      </c>
      <c r="G300" s="31">
        <v>45936.0</v>
      </c>
      <c r="H300" s="45" t="s">
        <v>114</v>
      </c>
    </row>
    <row r="301" ht="15.75" customHeight="1">
      <c r="A301" s="78"/>
      <c r="B301" s="78" t="s">
        <v>624</v>
      </c>
      <c r="C301" s="45" t="s">
        <v>625</v>
      </c>
      <c r="D301" s="45" t="s">
        <v>128</v>
      </c>
      <c r="E301" s="46">
        <v>1199.0</v>
      </c>
      <c r="F301" s="47">
        <v>1199.0</v>
      </c>
      <c r="G301" s="31">
        <v>45936.0</v>
      </c>
      <c r="H301" s="45" t="s">
        <v>114</v>
      </c>
    </row>
    <row r="302" ht="15.75" customHeight="1">
      <c r="A302" s="45"/>
      <c r="B302" s="45" t="s">
        <v>586</v>
      </c>
      <c r="C302" s="45" t="s">
        <v>626</v>
      </c>
      <c r="D302" s="45" t="s">
        <v>118</v>
      </c>
      <c r="E302" s="46">
        <v>319.0</v>
      </c>
      <c r="F302" s="47">
        <v>319.0</v>
      </c>
      <c r="G302" s="40"/>
      <c r="H302" s="48"/>
    </row>
    <row r="303" ht="15.75" customHeight="1">
      <c r="A303" s="45"/>
      <c r="B303" s="45" t="s">
        <v>586</v>
      </c>
      <c r="C303" s="45" t="s">
        <v>627</v>
      </c>
      <c r="D303" s="45" t="s">
        <v>27</v>
      </c>
      <c r="E303" s="46">
        <v>1756.0</v>
      </c>
      <c r="F303" s="47">
        <v>1756.0</v>
      </c>
      <c r="G303" s="40"/>
      <c r="H303" s="10"/>
      <c r="I303" s="2" t="s">
        <v>628</v>
      </c>
    </row>
    <row r="304" ht="15.75" customHeight="1">
      <c r="A304" s="76"/>
      <c r="B304" s="45" t="s">
        <v>629</v>
      </c>
      <c r="C304" s="45" t="s">
        <v>630</v>
      </c>
      <c r="D304" s="45" t="s">
        <v>185</v>
      </c>
      <c r="E304" s="46">
        <v>21307.0</v>
      </c>
      <c r="F304" s="54">
        <v>21307.0</v>
      </c>
      <c r="G304" s="72">
        <v>45940.0</v>
      </c>
      <c r="H304" s="45" t="s">
        <v>631</v>
      </c>
    </row>
    <row r="305" ht="15.75" customHeight="1">
      <c r="A305" s="45"/>
      <c r="B305" s="45" t="s">
        <v>632</v>
      </c>
      <c r="C305" s="45" t="s">
        <v>592</v>
      </c>
      <c r="D305" s="45" t="s">
        <v>113</v>
      </c>
      <c r="E305" s="46">
        <v>799.0</v>
      </c>
      <c r="F305" s="47">
        <v>399.5</v>
      </c>
      <c r="G305" s="72">
        <v>45942.0</v>
      </c>
      <c r="H305" s="45" t="s">
        <v>114</v>
      </c>
    </row>
    <row r="306" ht="15.75" customHeight="1">
      <c r="A306" s="45"/>
      <c r="B306" s="45" t="s">
        <v>632</v>
      </c>
      <c r="C306" s="45" t="s">
        <v>592</v>
      </c>
      <c r="D306" s="45" t="s">
        <v>175</v>
      </c>
      <c r="E306" s="46">
        <v>799.0</v>
      </c>
      <c r="F306" s="47">
        <v>399.5</v>
      </c>
      <c r="G306" s="72">
        <v>45942.0</v>
      </c>
      <c r="H306" s="48"/>
    </row>
    <row r="307" ht="15.75" customHeight="1">
      <c r="A307" s="76"/>
      <c r="B307" s="45" t="s">
        <v>633</v>
      </c>
      <c r="C307" s="45" t="s">
        <v>634</v>
      </c>
      <c r="D307" s="45" t="s">
        <v>122</v>
      </c>
      <c r="E307" s="46">
        <v>4300.0</v>
      </c>
      <c r="F307" s="54">
        <v>4300.0</v>
      </c>
      <c r="G307" s="72">
        <v>45944.0</v>
      </c>
      <c r="H307" s="45" t="s">
        <v>114</v>
      </c>
    </row>
    <row r="308" ht="15.75" customHeight="1">
      <c r="A308" s="45"/>
      <c r="B308" s="45" t="s">
        <v>586</v>
      </c>
      <c r="C308" s="45" t="s">
        <v>635</v>
      </c>
      <c r="D308" s="45" t="s">
        <v>27</v>
      </c>
      <c r="E308" s="46">
        <v>1756.0</v>
      </c>
      <c r="F308" s="47">
        <v>1756.0</v>
      </c>
      <c r="G308" s="40"/>
      <c r="H308" s="45" t="s">
        <v>114</v>
      </c>
      <c r="I308" s="2" t="s">
        <v>636</v>
      </c>
    </row>
    <row r="309" ht="15.75" customHeight="1">
      <c r="A309" s="45"/>
      <c r="B309" s="45" t="s">
        <v>637</v>
      </c>
      <c r="C309" s="45" t="s">
        <v>638</v>
      </c>
      <c r="D309" s="45" t="s">
        <v>153</v>
      </c>
      <c r="E309" s="46">
        <v>799.0</v>
      </c>
      <c r="F309" s="47">
        <v>799.0</v>
      </c>
      <c r="G309" s="40"/>
      <c r="H309" s="48"/>
    </row>
    <row r="310" ht="15.75" customHeight="1">
      <c r="A310" s="45"/>
      <c r="B310" s="45" t="s">
        <v>639</v>
      </c>
      <c r="C310" s="45" t="s">
        <v>640</v>
      </c>
      <c r="D310" s="45" t="s">
        <v>122</v>
      </c>
      <c r="E310" s="46">
        <v>355.0</v>
      </c>
      <c r="F310" s="47">
        <v>355.0</v>
      </c>
      <c r="G310" s="40"/>
      <c r="H310" s="45" t="s">
        <v>641</v>
      </c>
    </row>
    <row r="311" ht="15.75" customHeight="1">
      <c r="A311" s="76"/>
      <c r="B311" s="45" t="s">
        <v>642</v>
      </c>
      <c r="C311" s="45" t="s">
        <v>643</v>
      </c>
      <c r="D311" s="45" t="s">
        <v>113</v>
      </c>
      <c r="E311" s="46">
        <v>3788.0</v>
      </c>
      <c r="F311" s="54">
        <v>3788.0</v>
      </c>
      <c r="G311" s="72">
        <v>45949.0</v>
      </c>
      <c r="H311" s="45" t="s">
        <v>114</v>
      </c>
    </row>
    <row r="312" ht="15.75" customHeight="1">
      <c r="A312" s="76"/>
      <c r="B312" s="45" t="s">
        <v>644</v>
      </c>
      <c r="C312" s="45" t="s">
        <v>645</v>
      </c>
      <c r="D312" s="45" t="s">
        <v>167</v>
      </c>
      <c r="E312" s="46">
        <v>7410.0</v>
      </c>
      <c r="F312" s="47">
        <v>7410.0</v>
      </c>
      <c r="G312" s="72">
        <v>45950.0</v>
      </c>
      <c r="H312" s="45" t="s">
        <v>480</v>
      </c>
      <c r="I312" s="2" t="s">
        <v>646</v>
      </c>
    </row>
    <row r="313" ht="15.75" customHeight="1">
      <c r="A313" s="76"/>
      <c r="B313" s="45" t="s">
        <v>647</v>
      </c>
      <c r="C313" s="45" t="s">
        <v>648</v>
      </c>
      <c r="D313" s="45" t="s">
        <v>175</v>
      </c>
      <c r="E313" s="46">
        <v>5994.0</v>
      </c>
      <c r="F313" s="47">
        <v>5994.0</v>
      </c>
      <c r="G313" s="72">
        <v>45950.0</v>
      </c>
      <c r="H313" s="45" t="s">
        <v>649</v>
      </c>
      <c r="I313" s="2"/>
    </row>
    <row r="314" ht="15.75" customHeight="1">
      <c r="A314" s="76"/>
      <c r="B314" s="45" t="s">
        <v>650</v>
      </c>
      <c r="C314" s="45" t="s">
        <v>651</v>
      </c>
      <c r="D314" s="45" t="s">
        <v>15</v>
      </c>
      <c r="E314" s="46">
        <v>12000.0</v>
      </c>
      <c r="F314" s="54">
        <v>12000.0</v>
      </c>
      <c r="G314" s="72">
        <v>45953.0</v>
      </c>
      <c r="H314" s="45" t="s">
        <v>652</v>
      </c>
    </row>
    <row r="315" ht="15.75" customHeight="1">
      <c r="A315" s="45"/>
      <c r="B315" s="45" t="s">
        <v>540</v>
      </c>
      <c r="C315" s="45" t="s">
        <v>653</v>
      </c>
      <c r="D315" s="45" t="s">
        <v>153</v>
      </c>
      <c r="E315" s="46">
        <v>1783.0</v>
      </c>
      <c r="F315" s="47">
        <v>1783.0</v>
      </c>
      <c r="G315" s="40"/>
      <c r="H315" s="48"/>
    </row>
    <row r="316" ht="15.75" customHeight="1">
      <c r="A316" s="45"/>
      <c r="B316" s="45" t="s">
        <v>540</v>
      </c>
      <c r="C316" s="45" t="s">
        <v>653</v>
      </c>
      <c r="D316" s="45" t="s">
        <v>175</v>
      </c>
      <c r="E316" s="46">
        <v>1783.0</v>
      </c>
      <c r="F316" s="47">
        <v>1783.0</v>
      </c>
      <c r="G316" s="40"/>
      <c r="H316" s="48"/>
    </row>
    <row r="317" ht="15.75" customHeight="1">
      <c r="A317" s="76"/>
      <c r="B317" s="45" t="s">
        <v>654</v>
      </c>
      <c r="C317" s="45" t="s">
        <v>655</v>
      </c>
      <c r="D317" s="45" t="s">
        <v>27</v>
      </c>
      <c r="E317" s="46">
        <v>9175.0</v>
      </c>
      <c r="F317" s="47">
        <v>9175.0</v>
      </c>
      <c r="G317" s="31">
        <v>45962.0</v>
      </c>
      <c r="H317" s="45" t="s">
        <v>114</v>
      </c>
    </row>
    <row r="318" ht="15.75" customHeight="1">
      <c r="A318" s="76"/>
      <c r="B318" s="45" t="s">
        <v>656</v>
      </c>
      <c r="C318" s="45" t="s">
        <v>657</v>
      </c>
      <c r="D318" s="45" t="s">
        <v>15</v>
      </c>
      <c r="E318" s="46">
        <v>9540.0</v>
      </c>
      <c r="F318" s="47">
        <v>9540.0</v>
      </c>
      <c r="G318" s="31">
        <v>45962.0</v>
      </c>
      <c r="H318" s="45" t="s">
        <v>114</v>
      </c>
    </row>
    <row r="319" ht="15.75" customHeight="1">
      <c r="A319" s="76"/>
      <c r="B319" s="45" t="s">
        <v>658</v>
      </c>
      <c r="C319" s="45" t="s">
        <v>655</v>
      </c>
      <c r="D319" s="45" t="s">
        <v>65</v>
      </c>
      <c r="E319" s="46">
        <v>11330.0</v>
      </c>
      <c r="F319" s="47">
        <v>11330.0</v>
      </c>
      <c r="G319" s="31">
        <v>45962.0</v>
      </c>
      <c r="H319" s="45" t="s">
        <v>114</v>
      </c>
    </row>
    <row r="320" ht="15.75" customHeight="1">
      <c r="A320" s="45"/>
      <c r="B320" s="45" t="s">
        <v>540</v>
      </c>
      <c r="C320" s="45" t="s">
        <v>659</v>
      </c>
      <c r="D320" s="45" t="s">
        <v>153</v>
      </c>
      <c r="E320" s="46">
        <v>750.0</v>
      </c>
      <c r="F320" s="47">
        <v>750.0</v>
      </c>
      <c r="G320" s="40"/>
      <c r="H320" s="48"/>
    </row>
    <row r="321" ht="15.75" customHeight="1">
      <c r="A321" s="45"/>
      <c r="B321" s="45" t="s">
        <v>540</v>
      </c>
      <c r="C321" s="45" t="s">
        <v>659</v>
      </c>
      <c r="D321" s="45" t="s">
        <v>175</v>
      </c>
      <c r="E321" s="46">
        <v>1500.0</v>
      </c>
      <c r="F321" s="47">
        <v>1500.0</v>
      </c>
      <c r="G321" s="40"/>
      <c r="H321" s="48"/>
    </row>
    <row r="322" ht="15.75" customHeight="1">
      <c r="A322" s="76"/>
      <c r="B322" s="45" t="s">
        <v>660</v>
      </c>
      <c r="C322" s="45" t="s">
        <v>661</v>
      </c>
      <c r="D322" s="45" t="s">
        <v>185</v>
      </c>
      <c r="E322" s="46">
        <v>11790.0</v>
      </c>
      <c r="F322" s="47">
        <v>11790.0</v>
      </c>
      <c r="G322" s="31">
        <v>45969.0</v>
      </c>
      <c r="H322" s="45" t="s">
        <v>114</v>
      </c>
    </row>
    <row r="323" ht="15.75" customHeight="1">
      <c r="A323" s="82"/>
      <c r="B323" s="78" t="s">
        <v>662</v>
      </c>
      <c r="C323" s="45" t="s">
        <v>663</v>
      </c>
      <c r="D323" s="45" t="s">
        <v>153</v>
      </c>
      <c r="E323" s="46">
        <v>3642.0</v>
      </c>
      <c r="F323" s="47">
        <v>3642.0</v>
      </c>
      <c r="G323" s="31">
        <v>45970.0</v>
      </c>
      <c r="H323" s="45" t="s">
        <v>324</v>
      </c>
    </row>
    <row r="324" ht="15.75" customHeight="1">
      <c r="A324" s="45"/>
      <c r="B324" s="45" t="s">
        <v>664</v>
      </c>
      <c r="C324" s="45" t="s">
        <v>665</v>
      </c>
      <c r="D324" s="45" t="s">
        <v>185</v>
      </c>
      <c r="E324" s="46">
        <v>2629.8</v>
      </c>
      <c r="F324" s="47">
        <v>2629.8</v>
      </c>
      <c r="G324" s="40"/>
      <c r="H324" s="45" t="s">
        <v>114</v>
      </c>
    </row>
    <row r="325" ht="15.75" customHeight="1">
      <c r="A325" s="45"/>
      <c r="B325" s="45" t="s">
        <v>664</v>
      </c>
      <c r="C325" s="45" t="s">
        <v>666</v>
      </c>
      <c r="D325" s="45" t="s">
        <v>15</v>
      </c>
      <c r="E325" s="46">
        <v>1537.2</v>
      </c>
      <c r="F325" s="47">
        <v>1537.2</v>
      </c>
      <c r="G325" s="40"/>
      <c r="H325" s="48"/>
    </row>
    <row r="326" ht="15.75" customHeight="1">
      <c r="A326" s="76"/>
      <c r="B326" s="45" t="s">
        <v>667</v>
      </c>
      <c r="C326" s="45" t="s">
        <v>668</v>
      </c>
      <c r="D326" s="45" t="s">
        <v>20</v>
      </c>
      <c r="E326" s="46">
        <v>7764.0</v>
      </c>
      <c r="F326" s="54">
        <v>7764.0</v>
      </c>
      <c r="G326" s="72">
        <v>45972.0</v>
      </c>
      <c r="H326" s="45" t="s">
        <v>114</v>
      </c>
    </row>
    <row r="327" ht="15.75" customHeight="1">
      <c r="A327" s="76"/>
      <c r="B327" s="45" t="s">
        <v>667</v>
      </c>
      <c r="C327" s="45" t="s">
        <v>668</v>
      </c>
      <c r="D327" s="45" t="s">
        <v>31</v>
      </c>
      <c r="E327" s="46">
        <v>7831.0</v>
      </c>
      <c r="F327" s="54">
        <v>7831.0</v>
      </c>
      <c r="G327" s="72">
        <v>45972.0</v>
      </c>
      <c r="H327" s="45" t="s">
        <v>114</v>
      </c>
    </row>
    <row r="328" ht="15.75" customHeight="1">
      <c r="A328" s="76"/>
      <c r="B328" s="45" t="s">
        <v>669</v>
      </c>
      <c r="C328" s="45" t="s">
        <v>670</v>
      </c>
      <c r="D328" s="45" t="s">
        <v>118</v>
      </c>
      <c r="E328" s="46">
        <v>9800.0</v>
      </c>
      <c r="F328" s="54">
        <v>9800.0</v>
      </c>
      <c r="G328" s="72">
        <v>45977.0</v>
      </c>
      <c r="H328" s="45" t="s">
        <v>114</v>
      </c>
    </row>
    <row r="329" ht="15.75" customHeight="1">
      <c r="A329" s="45"/>
      <c r="B329" s="45" t="s">
        <v>671</v>
      </c>
      <c r="C329" s="45" t="s">
        <v>672</v>
      </c>
      <c r="D329" s="45" t="s">
        <v>153</v>
      </c>
      <c r="E329" s="46">
        <v>427.0</v>
      </c>
      <c r="F329" s="47">
        <v>427.0</v>
      </c>
      <c r="G329" s="72">
        <v>45984.0</v>
      </c>
      <c r="H329" s="45" t="s">
        <v>114</v>
      </c>
    </row>
    <row r="330" ht="15.75" customHeight="1">
      <c r="A330" s="76"/>
      <c r="B330" s="45" t="s">
        <v>673</v>
      </c>
      <c r="C330" s="45" t="s">
        <v>655</v>
      </c>
      <c r="D330" s="45" t="s">
        <v>128</v>
      </c>
      <c r="E330" s="46">
        <v>9000.0</v>
      </c>
      <c r="F330" s="54">
        <v>9000.0</v>
      </c>
      <c r="G330" s="72">
        <v>45984.0</v>
      </c>
      <c r="H330" s="45" t="s">
        <v>114</v>
      </c>
    </row>
    <row r="331" ht="15.75" customHeight="1">
      <c r="A331" s="42"/>
      <c r="B331" s="42" t="s">
        <v>674</v>
      </c>
      <c r="C331" s="42" t="s">
        <v>675</v>
      </c>
      <c r="D331" s="42" t="s">
        <v>122</v>
      </c>
      <c r="E331" s="43">
        <v>559.0</v>
      </c>
      <c r="F331" s="44"/>
      <c r="G331" s="70">
        <v>45989.0</v>
      </c>
      <c r="H331" s="42" t="s">
        <v>114</v>
      </c>
    </row>
    <row r="332" ht="15.75" customHeight="1">
      <c r="A332" s="45"/>
      <c r="B332" s="45" t="s">
        <v>540</v>
      </c>
      <c r="C332" s="45" t="s">
        <v>676</v>
      </c>
      <c r="D332" s="45" t="s">
        <v>118</v>
      </c>
      <c r="E332" s="46">
        <v>4390.0</v>
      </c>
      <c r="F332" s="47">
        <v>4390.0</v>
      </c>
      <c r="G332" s="83"/>
      <c r="H332" s="60"/>
      <c r="I332" s="2" t="s">
        <v>677</v>
      </c>
    </row>
    <row r="333" ht="15.75" customHeight="1">
      <c r="A333" s="45"/>
      <c r="B333" s="45" t="s">
        <v>540</v>
      </c>
      <c r="C333" s="45" t="s">
        <v>676</v>
      </c>
      <c r="D333" s="45" t="s">
        <v>23</v>
      </c>
      <c r="E333" s="46">
        <v>4270.0</v>
      </c>
      <c r="F333" s="47">
        <v>4270.0</v>
      </c>
      <c r="G333" s="83"/>
      <c r="H333" s="60"/>
      <c r="I333" s="2" t="s">
        <v>678</v>
      </c>
    </row>
    <row r="334" ht="15.75" customHeight="1">
      <c r="A334" s="76"/>
      <c r="B334" s="45" t="s">
        <v>679</v>
      </c>
      <c r="C334" s="45" t="s">
        <v>680</v>
      </c>
      <c r="D334" s="45" t="s">
        <v>122</v>
      </c>
      <c r="E334" s="46">
        <v>3954.0</v>
      </c>
      <c r="F334" s="54">
        <v>3954.0</v>
      </c>
      <c r="G334" s="72">
        <v>45988.0</v>
      </c>
      <c r="H334" s="45" t="s">
        <v>114</v>
      </c>
    </row>
    <row r="335" ht="15.75" customHeight="1">
      <c r="A335" s="45"/>
      <c r="B335" s="45" t="s">
        <v>681</v>
      </c>
      <c r="C335" s="45" t="s">
        <v>682</v>
      </c>
      <c r="D335" s="45" t="s">
        <v>15</v>
      </c>
      <c r="E335" s="46">
        <v>1238.0</v>
      </c>
      <c r="F335" s="47">
        <v>1238.0</v>
      </c>
      <c r="G335" s="72">
        <v>45988.0</v>
      </c>
      <c r="H335" s="45" t="s">
        <v>114</v>
      </c>
      <c r="L335" s="84">
        <v>2188.0</v>
      </c>
    </row>
    <row r="336" ht="15.75" customHeight="1">
      <c r="A336" s="45"/>
      <c r="B336" s="45" t="s">
        <v>681</v>
      </c>
      <c r="C336" s="45" t="s">
        <v>682</v>
      </c>
      <c r="D336" s="45" t="s">
        <v>122</v>
      </c>
      <c r="E336" s="46">
        <v>1176.0</v>
      </c>
      <c r="F336" s="47">
        <v>1176.0</v>
      </c>
      <c r="G336" s="40"/>
      <c r="H336" s="45" t="s">
        <v>683</v>
      </c>
      <c r="L336" s="84">
        <v>2135.0</v>
      </c>
    </row>
    <row r="337" ht="15.75" customHeight="1">
      <c r="A337" s="45"/>
      <c r="B337" s="45" t="s">
        <v>684</v>
      </c>
      <c r="C337" s="45" t="s">
        <v>685</v>
      </c>
      <c r="D337" s="45" t="s">
        <v>128</v>
      </c>
      <c r="E337" s="46">
        <v>1293.0</v>
      </c>
      <c r="F337" s="47">
        <v>1293.0</v>
      </c>
      <c r="G337" s="72">
        <v>45989.0</v>
      </c>
      <c r="H337" s="45" t="s">
        <v>437</v>
      </c>
      <c r="L337" s="2">
        <v>1708.0</v>
      </c>
    </row>
    <row r="338" ht="15.75" customHeight="1">
      <c r="A338" s="76"/>
      <c r="B338" s="45" t="s">
        <v>686</v>
      </c>
      <c r="C338" s="45" t="s">
        <v>687</v>
      </c>
      <c r="D338" s="45" t="s">
        <v>31</v>
      </c>
      <c r="E338" s="46">
        <v>599.0</v>
      </c>
      <c r="F338" s="47">
        <v>599.0</v>
      </c>
      <c r="G338" s="72">
        <v>45990.0</v>
      </c>
      <c r="H338" s="45" t="s">
        <v>437</v>
      </c>
      <c r="L338" s="2">
        <v>120.0</v>
      </c>
    </row>
    <row r="339" ht="15.75" customHeight="1">
      <c r="A339" s="76"/>
      <c r="B339" s="45" t="s">
        <v>688</v>
      </c>
      <c r="C339" s="45" t="s">
        <v>689</v>
      </c>
      <c r="D339" s="45" t="s">
        <v>27</v>
      </c>
      <c r="E339" s="46">
        <v>11018.0</v>
      </c>
      <c r="F339" s="54">
        <v>11018.0</v>
      </c>
      <c r="G339" s="40"/>
      <c r="H339" s="45" t="s">
        <v>114</v>
      </c>
      <c r="L339" s="84">
        <v>4270.0</v>
      </c>
    </row>
    <row r="340" ht="15.75" customHeight="1">
      <c r="A340" s="76"/>
      <c r="B340" s="45" t="s">
        <v>690</v>
      </c>
      <c r="C340" s="45" t="s">
        <v>689</v>
      </c>
      <c r="D340" s="45" t="s">
        <v>65</v>
      </c>
      <c r="E340" s="46">
        <v>14524.0</v>
      </c>
      <c r="F340" s="54">
        <v>14524.0</v>
      </c>
      <c r="G340" s="40"/>
      <c r="H340" s="45" t="s">
        <v>114</v>
      </c>
      <c r="L340" s="2">
        <v>10421.0</v>
      </c>
    </row>
    <row r="341" ht="15.75" customHeight="1">
      <c r="A341" s="76"/>
      <c r="B341" s="45" t="s">
        <v>691</v>
      </c>
      <c r="C341" s="45" t="s">
        <v>692</v>
      </c>
      <c r="D341" s="45" t="s">
        <v>128</v>
      </c>
      <c r="E341" s="46">
        <v>9757.0</v>
      </c>
      <c r="F341" s="54">
        <v>9757.0</v>
      </c>
      <c r="G341" s="40"/>
      <c r="H341" s="45" t="s">
        <v>114</v>
      </c>
      <c r="L341" s="2">
        <v>1410.0</v>
      </c>
    </row>
    <row r="342" ht="15.75" customHeight="1">
      <c r="A342" s="76"/>
      <c r="B342" s="45" t="s">
        <v>693</v>
      </c>
      <c r="C342" s="45" t="s">
        <v>694</v>
      </c>
      <c r="D342" s="45" t="s">
        <v>15</v>
      </c>
      <c r="E342" s="46">
        <v>1737.0</v>
      </c>
      <c r="F342" s="54">
        <v>1737.0</v>
      </c>
      <c r="G342" s="31">
        <v>45995.0</v>
      </c>
      <c r="H342" s="45" t="s">
        <v>114</v>
      </c>
      <c r="L342" s="85">
        <f>L340-L341</f>
        <v>9011</v>
      </c>
    </row>
    <row r="343" ht="15.75" customHeight="1">
      <c r="A343" s="42"/>
      <c r="B343" s="42" t="s">
        <v>695</v>
      </c>
      <c r="C343" s="42" t="s">
        <v>696</v>
      </c>
      <c r="D343" s="42" t="s">
        <v>128</v>
      </c>
      <c r="E343" s="43">
        <v>3238.0</v>
      </c>
      <c r="F343" s="26"/>
      <c r="G343" s="27">
        <v>45995.0</v>
      </c>
      <c r="H343" s="42" t="s">
        <v>114</v>
      </c>
    </row>
    <row r="344" ht="15.75" customHeight="1">
      <c r="A344" s="76"/>
      <c r="B344" s="45" t="s">
        <v>697</v>
      </c>
      <c r="C344" s="45" t="s">
        <v>698</v>
      </c>
      <c r="D344" s="45" t="s">
        <v>122</v>
      </c>
      <c r="E344" s="46">
        <v>1266.0</v>
      </c>
      <c r="F344" s="47">
        <v>1266.0</v>
      </c>
      <c r="G344" s="31">
        <v>45995.0</v>
      </c>
      <c r="H344" s="45" t="s">
        <v>437</v>
      </c>
    </row>
    <row r="345" ht="15.75" customHeight="1">
      <c r="A345" s="76"/>
      <c r="B345" s="45" t="s">
        <v>697</v>
      </c>
      <c r="C345" s="45" t="s">
        <v>698</v>
      </c>
      <c r="D345" s="45" t="s">
        <v>23</v>
      </c>
      <c r="E345" s="46">
        <v>1557.0</v>
      </c>
      <c r="F345" s="47">
        <v>1557.0</v>
      </c>
      <c r="G345" s="31">
        <v>45995.0</v>
      </c>
      <c r="H345" s="45" t="s">
        <v>437</v>
      </c>
    </row>
    <row r="346" ht="15.75" customHeight="1">
      <c r="A346" s="45"/>
      <c r="B346" s="45" t="s">
        <v>699</v>
      </c>
      <c r="C346" s="45" t="s">
        <v>700</v>
      </c>
      <c r="D346" s="45" t="s">
        <v>122</v>
      </c>
      <c r="E346" s="46">
        <v>950.0</v>
      </c>
      <c r="F346" s="47">
        <v>950.0</v>
      </c>
      <c r="G346" s="31">
        <v>45994.0</v>
      </c>
      <c r="H346" s="45" t="s">
        <v>114</v>
      </c>
      <c r="I346" s="2" t="s">
        <v>701</v>
      </c>
    </row>
    <row r="347" ht="15.75" customHeight="1">
      <c r="A347" s="76"/>
      <c r="B347" s="45" t="s">
        <v>702</v>
      </c>
      <c r="C347" s="45" t="s">
        <v>703</v>
      </c>
      <c r="D347" s="45" t="s">
        <v>704</v>
      </c>
      <c r="E347" s="46">
        <v>7900.0</v>
      </c>
      <c r="F347" s="54">
        <v>7900.0</v>
      </c>
      <c r="G347" s="31">
        <v>45996.0</v>
      </c>
      <c r="H347" s="45" t="s">
        <v>114</v>
      </c>
      <c r="I347" s="2" t="s">
        <v>701</v>
      </c>
    </row>
    <row r="348" ht="15.75" customHeight="1">
      <c r="A348" s="45"/>
      <c r="B348" s="45" t="s">
        <v>540</v>
      </c>
      <c r="C348" s="45" t="s">
        <v>705</v>
      </c>
      <c r="D348" s="45" t="s">
        <v>153</v>
      </c>
      <c r="E348" s="46">
        <v>2135.0</v>
      </c>
      <c r="F348" s="47">
        <v>1708.0</v>
      </c>
      <c r="G348" s="40"/>
      <c r="H348" s="45" t="s">
        <v>114</v>
      </c>
    </row>
    <row r="349" ht="15.75" customHeight="1">
      <c r="A349" s="45"/>
      <c r="B349" s="45" t="s">
        <v>540</v>
      </c>
      <c r="C349" s="45" t="s">
        <v>706</v>
      </c>
      <c r="D349" s="45" t="s">
        <v>113</v>
      </c>
      <c r="E349" s="46">
        <v>1708.0</v>
      </c>
      <c r="F349" s="47">
        <v>1708.0</v>
      </c>
      <c r="G349" s="40"/>
      <c r="H349" s="45" t="s">
        <v>114</v>
      </c>
    </row>
    <row r="350" ht="15.75" customHeight="1">
      <c r="A350" s="45"/>
      <c r="B350" s="45" t="s">
        <v>540</v>
      </c>
      <c r="C350" s="45" t="s">
        <v>706</v>
      </c>
      <c r="D350" s="45" t="s">
        <v>118</v>
      </c>
      <c r="E350" s="46">
        <v>2188.0</v>
      </c>
      <c r="F350" s="47">
        <v>2188.0</v>
      </c>
      <c r="G350" s="40"/>
      <c r="H350" s="45" t="s">
        <v>114</v>
      </c>
    </row>
    <row r="351" ht="15.75" customHeight="1">
      <c r="A351" s="76"/>
      <c r="B351" s="45" t="s">
        <v>707</v>
      </c>
      <c r="C351" s="45" t="s">
        <v>663</v>
      </c>
      <c r="D351" s="45" t="s">
        <v>128</v>
      </c>
      <c r="E351" s="46">
        <v>3596.0</v>
      </c>
      <c r="F351" s="54">
        <v>3596.0</v>
      </c>
      <c r="G351" s="31">
        <v>46000.0</v>
      </c>
      <c r="H351" s="45" t="s">
        <v>114</v>
      </c>
      <c r="I351" s="2" t="s">
        <v>701</v>
      </c>
    </row>
    <row r="352" ht="15.75" customHeight="1">
      <c r="A352" s="76"/>
      <c r="B352" s="45" t="s">
        <v>708</v>
      </c>
      <c r="C352" s="45" t="s">
        <v>709</v>
      </c>
      <c r="D352" s="45" t="s">
        <v>710</v>
      </c>
      <c r="E352" s="74"/>
      <c r="F352" s="75"/>
      <c r="G352" s="40"/>
      <c r="H352" s="48"/>
    </row>
    <row r="353" ht="15.75" customHeight="1">
      <c r="A353" s="76"/>
      <c r="B353" s="45" t="s">
        <v>711</v>
      </c>
      <c r="C353" s="45" t="s">
        <v>712</v>
      </c>
      <c r="D353" s="45" t="s">
        <v>153</v>
      </c>
      <c r="E353" s="46">
        <v>3000.0</v>
      </c>
      <c r="F353" s="47">
        <v>3000.0</v>
      </c>
      <c r="G353" s="31">
        <v>46000.0</v>
      </c>
      <c r="H353" s="45" t="s">
        <v>437</v>
      </c>
    </row>
    <row r="354" ht="15.75" customHeight="1">
      <c r="A354" s="76"/>
      <c r="B354" s="45" t="s">
        <v>713</v>
      </c>
      <c r="C354" s="45" t="s">
        <v>714</v>
      </c>
      <c r="D354" s="45" t="s">
        <v>31</v>
      </c>
      <c r="E354" s="46">
        <v>2430.0</v>
      </c>
      <c r="F354" s="47">
        <v>2430.0</v>
      </c>
      <c r="G354" s="79">
        <v>9.12</v>
      </c>
      <c r="H354" s="45" t="s">
        <v>480</v>
      </c>
      <c r="I354" s="2" t="s">
        <v>701</v>
      </c>
    </row>
    <row r="355" ht="15.75" customHeight="1">
      <c r="A355" s="76"/>
      <c r="B355" s="45" t="s">
        <v>715</v>
      </c>
      <c r="C355" s="45" t="s">
        <v>716</v>
      </c>
      <c r="D355" s="45" t="s">
        <v>122</v>
      </c>
      <c r="E355" s="46">
        <v>4824.0</v>
      </c>
      <c r="F355" s="47">
        <v>4824.0</v>
      </c>
      <c r="G355" s="72">
        <v>46002.0</v>
      </c>
      <c r="H355" s="45" t="s">
        <v>480</v>
      </c>
    </row>
    <row r="356" ht="15.75" customHeight="1">
      <c r="A356" s="76"/>
      <c r="B356" s="45" t="s">
        <v>717</v>
      </c>
      <c r="C356" s="45" t="s">
        <v>718</v>
      </c>
      <c r="D356" s="45" t="s">
        <v>128</v>
      </c>
      <c r="E356" s="46">
        <v>5000.0</v>
      </c>
      <c r="F356" s="54">
        <v>5000.0</v>
      </c>
      <c r="G356" s="72">
        <v>46010.0</v>
      </c>
      <c r="H356" s="45" t="s">
        <v>719</v>
      </c>
    </row>
    <row r="357" ht="15.75" customHeight="1">
      <c r="A357" s="76"/>
      <c r="B357" s="45" t="s">
        <v>720</v>
      </c>
      <c r="C357" s="45" t="s">
        <v>721</v>
      </c>
      <c r="D357" s="45" t="s">
        <v>122</v>
      </c>
      <c r="E357" s="46">
        <v>2000.0</v>
      </c>
      <c r="F357" s="54">
        <v>2000.0</v>
      </c>
      <c r="G357" s="72">
        <v>46020.0</v>
      </c>
      <c r="H357" s="45" t="s">
        <v>254</v>
      </c>
    </row>
    <row r="358" ht="15.75" customHeight="1">
      <c r="A358" s="76"/>
      <c r="B358" s="45" t="s">
        <v>722</v>
      </c>
      <c r="C358" s="45" t="s">
        <v>723</v>
      </c>
      <c r="D358" s="45" t="s">
        <v>118</v>
      </c>
      <c r="E358" s="46">
        <v>2500.0</v>
      </c>
      <c r="F358" s="54">
        <v>2500.0</v>
      </c>
      <c r="G358" s="72">
        <v>46018.0</v>
      </c>
      <c r="H358" s="45" t="s">
        <v>114</v>
      </c>
      <c r="I358" s="2" t="s">
        <v>701</v>
      </c>
    </row>
    <row r="359" ht="15.75" customHeight="1">
      <c r="A359" s="76"/>
      <c r="B359" s="45" t="s">
        <v>724</v>
      </c>
      <c r="C359" s="45" t="s">
        <v>725</v>
      </c>
      <c r="D359" s="45" t="s">
        <v>31</v>
      </c>
      <c r="E359" s="46">
        <v>2000.0</v>
      </c>
      <c r="F359" s="54">
        <v>2000.0</v>
      </c>
      <c r="G359" s="72">
        <v>46019.0</v>
      </c>
      <c r="H359" s="45" t="s">
        <v>726</v>
      </c>
    </row>
    <row r="360" ht="15.75" customHeight="1">
      <c r="A360" s="76"/>
      <c r="B360" s="45" t="s">
        <v>724</v>
      </c>
      <c r="C360" s="45" t="s">
        <v>725</v>
      </c>
      <c r="D360" s="45" t="s">
        <v>153</v>
      </c>
      <c r="E360" s="46">
        <v>2000.0</v>
      </c>
      <c r="F360" s="54">
        <v>2000.0</v>
      </c>
      <c r="G360" s="72">
        <v>46019.0</v>
      </c>
      <c r="H360" s="45" t="s">
        <v>726</v>
      </c>
      <c r="I360" s="2" t="s">
        <v>701</v>
      </c>
    </row>
    <row r="361" ht="15.75" customHeight="1">
      <c r="A361" s="76"/>
      <c r="B361" s="45" t="s">
        <v>544</v>
      </c>
      <c r="C361" s="45" t="s">
        <v>727</v>
      </c>
      <c r="D361" s="45" t="s">
        <v>153</v>
      </c>
      <c r="E361" s="46">
        <v>2325.0</v>
      </c>
      <c r="F361" s="47">
        <v>2325.0</v>
      </c>
      <c r="G361" s="40"/>
      <c r="H361" s="45" t="s">
        <v>728</v>
      </c>
    </row>
    <row r="362" ht="15.75" customHeight="1">
      <c r="A362" s="76"/>
      <c r="B362" s="45" t="s">
        <v>729</v>
      </c>
      <c r="C362" s="45" t="s">
        <v>730</v>
      </c>
      <c r="D362" s="45" t="s">
        <v>31</v>
      </c>
      <c r="E362" s="46">
        <v>2899.0</v>
      </c>
      <c r="F362" s="54">
        <v>2899.0</v>
      </c>
      <c r="G362" s="31">
        <v>45658.0</v>
      </c>
      <c r="H362" s="45" t="s">
        <v>731</v>
      </c>
    </row>
    <row r="363" ht="15.75" customHeight="1">
      <c r="A363" s="42"/>
      <c r="B363" s="42" t="s">
        <v>732</v>
      </c>
      <c r="C363" s="42" t="s">
        <v>733</v>
      </c>
      <c r="D363" s="42" t="s">
        <v>153</v>
      </c>
      <c r="E363" s="43">
        <v>5178.0</v>
      </c>
      <c r="F363" s="44"/>
      <c r="G363" s="27">
        <v>45658.0</v>
      </c>
      <c r="H363" s="42" t="s">
        <v>32</v>
      </c>
    </row>
    <row r="364" ht="15.75" customHeight="1">
      <c r="A364" s="76"/>
      <c r="B364" s="45" t="s">
        <v>364</v>
      </c>
      <c r="C364" s="45" t="s">
        <v>734</v>
      </c>
      <c r="D364" s="45" t="s">
        <v>15</v>
      </c>
      <c r="E364" s="46">
        <v>2599.0</v>
      </c>
      <c r="F364" s="54">
        <v>2599.0</v>
      </c>
      <c r="G364" s="31">
        <v>46024.0</v>
      </c>
      <c r="H364" s="45" t="s">
        <v>114</v>
      </c>
    </row>
    <row r="365" ht="15.75" customHeight="1">
      <c r="A365" s="76"/>
      <c r="B365" s="45" t="s">
        <v>735</v>
      </c>
      <c r="C365" s="45" t="s">
        <v>736</v>
      </c>
      <c r="D365" s="45" t="s">
        <v>15</v>
      </c>
      <c r="E365" s="46">
        <v>3328.0</v>
      </c>
      <c r="F365" s="54">
        <v>3328.0</v>
      </c>
      <c r="G365" s="31">
        <v>46025.0</v>
      </c>
      <c r="H365" s="45" t="s">
        <v>737</v>
      </c>
    </row>
    <row r="366" ht="15.75" customHeight="1">
      <c r="A366" s="76"/>
      <c r="B366" s="45" t="s">
        <v>738</v>
      </c>
      <c r="C366" s="45" t="s">
        <v>739</v>
      </c>
      <c r="D366" s="45" t="s">
        <v>128</v>
      </c>
      <c r="E366" s="46">
        <v>3435.0</v>
      </c>
      <c r="F366" s="54">
        <v>3435.0</v>
      </c>
      <c r="G366" s="31">
        <v>46025.0</v>
      </c>
      <c r="H366" s="45" t="s">
        <v>114</v>
      </c>
      <c r="I366" s="2" t="s">
        <v>701</v>
      </c>
    </row>
    <row r="367" ht="15.75" customHeight="1">
      <c r="A367" s="76"/>
      <c r="B367" s="45" t="s">
        <v>740</v>
      </c>
      <c r="C367" s="45" t="s">
        <v>741</v>
      </c>
      <c r="D367" s="45" t="s">
        <v>65</v>
      </c>
      <c r="E367" s="46">
        <v>5733.0</v>
      </c>
      <c r="F367" s="54">
        <v>5733.0</v>
      </c>
      <c r="G367" s="31">
        <v>46031.0</v>
      </c>
      <c r="H367" s="45" t="s">
        <v>742</v>
      </c>
    </row>
    <row r="368" ht="15.75" customHeight="1">
      <c r="A368" s="42"/>
      <c r="B368" s="42" t="s">
        <v>743</v>
      </c>
      <c r="C368" s="42" t="s">
        <v>744</v>
      </c>
      <c r="D368" s="42" t="s">
        <v>153</v>
      </c>
      <c r="E368" s="43">
        <v>3800.0</v>
      </c>
      <c r="F368" s="44"/>
      <c r="G368" s="27">
        <v>46027.0</v>
      </c>
      <c r="H368" s="42" t="s">
        <v>618</v>
      </c>
    </row>
    <row r="369" ht="15.75" customHeight="1">
      <c r="A369" s="76"/>
      <c r="B369" s="45" t="s">
        <v>745</v>
      </c>
      <c r="C369" s="45" t="s">
        <v>746</v>
      </c>
      <c r="D369" s="45" t="s">
        <v>113</v>
      </c>
      <c r="E369" s="46">
        <v>3228.0</v>
      </c>
      <c r="F369" s="54">
        <v>3228.0</v>
      </c>
      <c r="G369" s="31">
        <v>46026.0</v>
      </c>
      <c r="H369" s="45" t="s">
        <v>114</v>
      </c>
    </row>
    <row r="370" ht="15.75" customHeight="1">
      <c r="A370" s="42"/>
      <c r="B370" s="42" t="s">
        <v>747</v>
      </c>
      <c r="C370" s="42" t="s">
        <v>748</v>
      </c>
      <c r="D370" s="42" t="s">
        <v>113</v>
      </c>
      <c r="E370" s="43">
        <v>1245.0</v>
      </c>
      <c r="F370" s="44"/>
      <c r="G370" s="27">
        <v>46027.0</v>
      </c>
      <c r="H370" s="42" t="s">
        <v>114</v>
      </c>
      <c r="I370" s="2"/>
    </row>
    <row r="371" ht="15.75" customHeight="1">
      <c r="A371" s="76"/>
      <c r="B371" s="45" t="s">
        <v>749</v>
      </c>
      <c r="C371" s="45" t="s">
        <v>750</v>
      </c>
      <c r="D371" s="45" t="s">
        <v>751</v>
      </c>
      <c r="E371" s="46">
        <v>4280.0</v>
      </c>
      <c r="F371" s="47">
        <v>4280.0</v>
      </c>
      <c r="G371" s="31">
        <v>46028.0</v>
      </c>
      <c r="H371" s="45" t="s">
        <v>114</v>
      </c>
    </row>
    <row r="372" ht="15.75" customHeight="1">
      <c r="A372" s="76"/>
      <c r="B372" s="45" t="s">
        <v>752</v>
      </c>
      <c r="C372" s="45" t="s">
        <v>753</v>
      </c>
      <c r="D372" s="45" t="s">
        <v>153</v>
      </c>
      <c r="E372" s="46">
        <v>2061.0</v>
      </c>
      <c r="F372" s="47">
        <v>2202.0</v>
      </c>
      <c r="G372" s="31">
        <v>46030.0</v>
      </c>
      <c r="H372" s="45" t="s">
        <v>754</v>
      </c>
      <c r="I372" s="2" t="s">
        <v>701</v>
      </c>
    </row>
    <row r="373" ht="15.75" customHeight="1">
      <c r="A373" s="86">
        <v>46029.0</v>
      </c>
      <c r="B373" s="45" t="s">
        <v>755</v>
      </c>
      <c r="C373" s="45" t="s">
        <v>756</v>
      </c>
      <c r="D373" s="45" t="s">
        <v>710</v>
      </c>
      <c r="E373" s="46">
        <v>7630.0</v>
      </c>
      <c r="F373" s="47">
        <v>3815.0</v>
      </c>
      <c r="G373" s="31">
        <v>46030.0</v>
      </c>
      <c r="H373" s="45" t="s">
        <v>757</v>
      </c>
    </row>
    <row r="374" ht="15.75" customHeight="1">
      <c r="A374" s="86">
        <v>46029.0</v>
      </c>
      <c r="B374" s="45" t="s">
        <v>758</v>
      </c>
      <c r="C374" s="45" t="s">
        <v>759</v>
      </c>
      <c r="D374" s="45" t="s">
        <v>122</v>
      </c>
      <c r="E374" s="46">
        <v>1290.0</v>
      </c>
      <c r="F374" s="54">
        <v>1290.0</v>
      </c>
      <c r="G374" s="31">
        <v>46030.0</v>
      </c>
      <c r="H374" s="45" t="s">
        <v>760</v>
      </c>
    </row>
    <row r="375" ht="15.75" customHeight="1">
      <c r="A375" s="86">
        <v>46030.0</v>
      </c>
      <c r="B375" s="45" t="s">
        <v>761</v>
      </c>
      <c r="C375" s="45" t="s">
        <v>762</v>
      </c>
      <c r="D375" s="45" t="s">
        <v>122</v>
      </c>
      <c r="E375" s="46">
        <v>6315.0</v>
      </c>
      <c r="F375" s="54">
        <v>6315.0</v>
      </c>
      <c r="G375" s="31">
        <v>46031.0</v>
      </c>
      <c r="H375" s="45" t="s">
        <v>114</v>
      </c>
    </row>
    <row r="376" ht="15.75" customHeight="1">
      <c r="A376" s="87">
        <v>46031.0</v>
      </c>
      <c r="B376" s="42" t="s">
        <v>763</v>
      </c>
      <c r="C376" s="42" t="s">
        <v>764</v>
      </c>
      <c r="D376" s="42" t="s">
        <v>65</v>
      </c>
      <c r="E376" s="43">
        <v>5958.0</v>
      </c>
      <c r="F376" s="44"/>
      <c r="G376" s="27">
        <v>46032.0</v>
      </c>
      <c r="H376" s="42" t="s">
        <v>114</v>
      </c>
      <c r="I376" s="2" t="s">
        <v>701</v>
      </c>
    </row>
    <row r="377" ht="15.75" customHeight="1">
      <c r="A377" s="86">
        <v>46031.0</v>
      </c>
      <c r="B377" s="45" t="s">
        <v>765</v>
      </c>
      <c r="C377" s="45" t="s">
        <v>766</v>
      </c>
      <c r="D377" s="45" t="s">
        <v>15</v>
      </c>
      <c r="E377" s="46">
        <v>2396.0</v>
      </c>
      <c r="F377" s="54">
        <v>2396.0</v>
      </c>
      <c r="G377" s="31">
        <v>46032.0</v>
      </c>
      <c r="H377" s="45" t="s">
        <v>254</v>
      </c>
    </row>
    <row r="378" ht="15.75" customHeight="1">
      <c r="A378" s="86">
        <v>46032.0</v>
      </c>
      <c r="B378" s="45" t="s">
        <v>767</v>
      </c>
      <c r="C378" s="45" t="s">
        <v>768</v>
      </c>
      <c r="D378" s="45" t="s">
        <v>31</v>
      </c>
      <c r="E378" s="46">
        <v>1157.0</v>
      </c>
      <c r="F378" s="54">
        <v>1157.0</v>
      </c>
      <c r="G378" s="79" t="s">
        <v>769</v>
      </c>
      <c r="H378" s="45" t="s">
        <v>114</v>
      </c>
    </row>
    <row r="379" ht="15.75" customHeight="1">
      <c r="A379" s="87">
        <v>46034.0</v>
      </c>
      <c r="B379" s="42" t="s">
        <v>770</v>
      </c>
      <c r="C379" s="42" t="s">
        <v>771</v>
      </c>
      <c r="D379" s="42" t="s">
        <v>113</v>
      </c>
      <c r="E379" s="43">
        <v>3164.0</v>
      </c>
      <c r="F379" s="26" t="s">
        <v>119</v>
      </c>
      <c r="G379" s="27">
        <v>46035.0</v>
      </c>
      <c r="H379" s="42" t="s">
        <v>772</v>
      </c>
      <c r="I379" s="2" t="s">
        <v>701</v>
      </c>
      <c r="J379" s="2"/>
    </row>
    <row r="380" ht="15.75" customHeight="1">
      <c r="A380" s="86">
        <v>46036.0</v>
      </c>
      <c r="B380" s="45" t="s">
        <v>773</v>
      </c>
      <c r="C380" s="45" t="s">
        <v>774</v>
      </c>
      <c r="D380" s="45" t="s">
        <v>704</v>
      </c>
      <c r="E380" s="46">
        <v>8490.0</v>
      </c>
      <c r="F380" s="54">
        <v>8490.0</v>
      </c>
      <c r="G380" s="31">
        <v>46037.0</v>
      </c>
      <c r="H380" s="45" t="s">
        <v>114</v>
      </c>
    </row>
    <row r="381" ht="15.75" customHeight="1">
      <c r="A381" s="86">
        <v>46037.0</v>
      </c>
      <c r="B381" s="45" t="s">
        <v>775</v>
      </c>
      <c r="C381" s="45" t="s">
        <v>776</v>
      </c>
      <c r="D381" s="45" t="s">
        <v>153</v>
      </c>
      <c r="E381" s="46">
        <v>2940.0</v>
      </c>
      <c r="F381" s="47">
        <v>2940.0</v>
      </c>
      <c r="G381" s="31">
        <v>46038.0</v>
      </c>
      <c r="H381" s="45" t="s">
        <v>777</v>
      </c>
    </row>
    <row r="382" ht="15.75" customHeight="1">
      <c r="A382" s="86">
        <v>46037.0</v>
      </c>
      <c r="B382" s="45" t="s">
        <v>778</v>
      </c>
      <c r="C382" s="45" t="s">
        <v>779</v>
      </c>
      <c r="D382" s="45" t="s">
        <v>113</v>
      </c>
      <c r="E382" s="46">
        <v>2490.0</v>
      </c>
      <c r="F382" s="54">
        <v>2490.0</v>
      </c>
      <c r="G382" s="31">
        <v>46038.0</v>
      </c>
      <c r="H382" s="45" t="s">
        <v>114</v>
      </c>
    </row>
    <row r="383" ht="15.75" customHeight="1">
      <c r="A383" s="86">
        <v>46039.0</v>
      </c>
      <c r="B383" s="45" t="s">
        <v>780</v>
      </c>
      <c r="C383" s="45" t="s">
        <v>781</v>
      </c>
      <c r="D383" s="45" t="s">
        <v>153</v>
      </c>
      <c r="E383" s="46">
        <v>1660.0</v>
      </c>
      <c r="F383" s="47">
        <v>1660.0</v>
      </c>
      <c r="G383" s="31">
        <v>46040.0</v>
      </c>
      <c r="H383" s="45" t="s">
        <v>480</v>
      </c>
      <c r="I383" s="2" t="s">
        <v>782</v>
      </c>
    </row>
    <row r="384" ht="15.75" customHeight="1">
      <c r="A384" s="86">
        <v>46040.0</v>
      </c>
      <c r="B384" s="45" t="s">
        <v>783</v>
      </c>
      <c r="C384" s="45" t="s">
        <v>784</v>
      </c>
      <c r="D384" s="45" t="s">
        <v>31</v>
      </c>
      <c r="E384" s="46">
        <v>1865.0</v>
      </c>
      <c r="F384" s="47">
        <v>1865.0</v>
      </c>
      <c r="G384" s="31">
        <v>46055.0</v>
      </c>
      <c r="H384" s="45" t="s">
        <v>324</v>
      </c>
      <c r="I384" s="2" t="s">
        <v>701</v>
      </c>
    </row>
    <row r="385" ht="15.75" customHeight="1">
      <c r="A385" s="87">
        <v>46041.0</v>
      </c>
      <c r="B385" s="42" t="s">
        <v>785</v>
      </c>
      <c r="C385" s="42" t="s">
        <v>712</v>
      </c>
      <c r="D385" s="42" t="s">
        <v>113</v>
      </c>
      <c r="E385" s="43">
        <v>2684.0</v>
      </c>
      <c r="F385" s="26" t="s">
        <v>32</v>
      </c>
      <c r="G385" s="27">
        <v>46042.0</v>
      </c>
      <c r="H385" s="42" t="s">
        <v>114</v>
      </c>
    </row>
    <row r="386" ht="15.75" customHeight="1">
      <c r="A386" s="86">
        <v>46041.0</v>
      </c>
      <c r="B386" s="45" t="s">
        <v>786</v>
      </c>
      <c r="C386" s="45" t="s">
        <v>787</v>
      </c>
      <c r="D386" s="45" t="s">
        <v>15</v>
      </c>
      <c r="E386" s="46">
        <v>2211.0</v>
      </c>
      <c r="F386" s="54">
        <v>2211.0</v>
      </c>
      <c r="G386" s="31">
        <v>46042.0</v>
      </c>
      <c r="H386" s="45" t="s">
        <v>788</v>
      </c>
      <c r="I386" s="2" t="s">
        <v>701</v>
      </c>
    </row>
    <row r="387" ht="15.75" customHeight="1">
      <c r="A387" s="86">
        <v>46044.0</v>
      </c>
      <c r="B387" s="45" t="s">
        <v>789</v>
      </c>
      <c r="C387" s="45" t="s">
        <v>790</v>
      </c>
      <c r="D387" s="45" t="s">
        <v>128</v>
      </c>
      <c r="E387" s="46">
        <v>1330.0</v>
      </c>
      <c r="F387" s="47">
        <v>1330.0</v>
      </c>
      <c r="G387" s="40"/>
      <c r="H387" s="45" t="s">
        <v>791</v>
      </c>
      <c r="I387" s="88" t="s">
        <v>792</v>
      </c>
    </row>
    <row r="388" ht="15.75" customHeight="1">
      <c r="A388" s="86">
        <v>46044.0</v>
      </c>
      <c r="B388" s="45" t="s">
        <v>793</v>
      </c>
      <c r="C388" s="45" t="s">
        <v>794</v>
      </c>
      <c r="D388" s="45" t="s">
        <v>15</v>
      </c>
      <c r="E388" s="46">
        <v>2417.0</v>
      </c>
      <c r="F388" s="47">
        <v>2417.0</v>
      </c>
      <c r="G388" s="31">
        <v>46045.0</v>
      </c>
      <c r="H388" s="45" t="s">
        <v>445</v>
      </c>
      <c r="I388" s="2" t="s">
        <v>795</v>
      </c>
    </row>
    <row r="389" ht="15.75" customHeight="1">
      <c r="A389" s="87">
        <v>46045.0</v>
      </c>
      <c r="B389" s="42" t="s">
        <v>796</v>
      </c>
      <c r="C389" s="42" t="s">
        <v>797</v>
      </c>
      <c r="D389" s="42" t="s">
        <v>704</v>
      </c>
      <c r="E389" s="43">
        <v>5670.0</v>
      </c>
      <c r="F389" s="26">
        <v>2835.0</v>
      </c>
      <c r="G389" s="89" t="s">
        <v>119</v>
      </c>
      <c r="H389" s="42" t="s">
        <v>114</v>
      </c>
      <c r="I389" s="2" t="s">
        <v>701</v>
      </c>
    </row>
    <row r="390" ht="15.75" customHeight="1">
      <c r="A390" s="86">
        <v>46046.0</v>
      </c>
      <c r="B390" s="45" t="s">
        <v>798</v>
      </c>
      <c r="C390" s="45" t="s">
        <v>799</v>
      </c>
      <c r="D390" s="45" t="s">
        <v>122</v>
      </c>
      <c r="E390" s="46">
        <v>799.0</v>
      </c>
      <c r="F390" s="47">
        <v>799.0</v>
      </c>
      <c r="G390" s="40"/>
      <c r="H390" s="45" t="s">
        <v>800</v>
      </c>
      <c r="I390" s="2" t="s">
        <v>801</v>
      </c>
    </row>
    <row r="391" ht="15.75" customHeight="1">
      <c r="A391" s="86">
        <v>46046.0</v>
      </c>
      <c r="B391" s="45" t="s">
        <v>802</v>
      </c>
      <c r="C391" s="45" t="s">
        <v>803</v>
      </c>
      <c r="D391" s="45" t="s">
        <v>31</v>
      </c>
      <c r="E391" s="46">
        <v>799.0</v>
      </c>
      <c r="F391" s="47">
        <v>799.0</v>
      </c>
      <c r="G391" s="40"/>
      <c r="H391" s="45" t="s">
        <v>800</v>
      </c>
      <c r="I391" s="2" t="s">
        <v>801</v>
      </c>
    </row>
    <row r="392" ht="15.75" customHeight="1">
      <c r="A392" s="86">
        <v>46046.0</v>
      </c>
      <c r="B392" s="45" t="s">
        <v>804</v>
      </c>
      <c r="C392" s="45" t="s">
        <v>805</v>
      </c>
      <c r="D392" s="45" t="s">
        <v>122</v>
      </c>
      <c r="E392" s="46">
        <v>1533.0</v>
      </c>
      <c r="F392" s="47">
        <v>1533.0</v>
      </c>
      <c r="G392" s="31">
        <v>46047.0</v>
      </c>
      <c r="H392" s="45" t="s">
        <v>114</v>
      </c>
      <c r="I392" s="2" t="s">
        <v>806</v>
      </c>
    </row>
    <row r="393" ht="15.75" customHeight="1">
      <c r="A393" s="86">
        <v>46046.0</v>
      </c>
      <c r="B393" s="45" t="s">
        <v>807</v>
      </c>
      <c r="C393" s="45" t="s">
        <v>808</v>
      </c>
      <c r="D393" s="45" t="s">
        <v>128</v>
      </c>
      <c r="E393" s="46">
        <v>1262.0</v>
      </c>
      <c r="F393" s="54">
        <v>1262.0</v>
      </c>
      <c r="G393" s="31">
        <v>46048.0</v>
      </c>
      <c r="H393" s="45" t="s">
        <v>114</v>
      </c>
      <c r="I393" s="2" t="s">
        <v>806</v>
      </c>
    </row>
    <row r="394" ht="15.75" customHeight="1">
      <c r="A394" s="87">
        <v>46046.0</v>
      </c>
      <c r="B394" s="42" t="s">
        <v>809</v>
      </c>
      <c r="C394" s="42" t="s">
        <v>810</v>
      </c>
      <c r="D394" s="42" t="s">
        <v>31</v>
      </c>
      <c r="E394" s="43">
        <v>2045.0</v>
      </c>
      <c r="F394" s="26" t="s">
        <v>32</v>
      </c>
      <c r="G394" s="27">
        <v>46060.0</v>
      </c>
      <c r="H394" s="42" t="s">
        <v>811</v>
      </c>
      <c r="I394" s="90" t="s">
        <v>701</v>
      </c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</row>
    <row r="395" ht="15.75" customHeight="1">
      <c r="A395" s="87">
        <v>46051.0</v>
      </c>
      <c r="B395" s="42" t="s">
        <v>812</v>
      </c>
      <c r="C395" s="42" t="s">
        <v>813</v>
      </c>
      <c r="D395" s="42" t="s">
        <v>113</v>
      </c>
      <c r="E395" s="43">
        <v>5363.0</v>
      </c>
      <c r="F395" s="26" t="s">
        <v>32</v>
      </c>
      <c r="G395" s="27">
        <v>46052.0</v>
      </c>
      <c r="H395" s="42" t="s">
        <v>114</v>
      </c>
      <c r="I395" s="2" t="s">
        <v>701</v>
      </c>
    </row>
    <row r="396" ht="15.75" customHeight="1">
      <c r="A396" s="86">
        <v>46053.0</v>
      </c>
      <c r="B396" s="45" t="s">
        <v>814</v>
      </c>
      <c r="C396" s="45" t="s">
        <v>815</v>
      </c>
      <c r="D396" s="45" t="s">
        <v>113</v>
      </c>
      <c r="E396" s="46">
        <v>2868.0</v>
      </c>
      <c r="F396" s="47">
        <v>3066.0</v>
      </c>
      <c r="G396" s="31">
        <v>46053.0</v>
      </c>
      <c r="H396" s="45" t="s">
        <v>480</v>
      </c>
    </row>
    <row r="397" ht="15.75" customHeight="1">
      <c r="A397" s="87">
        <v>46056.0</v>
      </c>
      <c r="B397" s="42" t="s">
        <v>816</v>
      </c>
      <c r="C397" s="42" t="s">
        <v>817</v>
      </c>
      <c r="D397" s="42" t="s">
        <v>128</v>
      </c>
      <c r="E397" s="43">
        <v>1266.0</v>
      </c>
      <c r="F397" s="26" t="s">
        <v>32</v>
      </c>
      <c r="G397" s="27">
        <v>46057.0</v>
      </c>
      <c r="H397" s="42" t="s">
        <v>114</v>
      </c>
    </row>
    <row r="398" ht="15.75" customHeight="1">
      <c r="A398" s="86">
        <v>46058.0</v>
      </c>
      <c r="B398" s="45" t="s">
        <v>818</v>
      </c>
      <c r="C398" s="45" t="s">
        <v>819</v>
      </c>
      <c r="D398" s="45" t="s">
        <v>128</v>
      </c>
      <c r="E398" s="46">
        <v>2334.0</v>
      </c>
      <c r="F398" s="47">
        <v>2344.0</v>
      </c>
      <c r="G398" s="31">
        <v>46062.0</v>
      </c>
      <c r="H398" s="45" t="s">
        <v>324</v>
      </c>
      <c r="I398" s="2" t="s">
        <v>701</v>
      </c>
    </row>
    <row r="399" ht="15.75" customHeight="1">
      <c r="A399" s="86">
        <v>46059.0</v>
      </c>
      <c r="B399" s="45" t="s">
        <v>820</v>
      </c>
      <c r="C399" s="45" t="s">
        <v>821</v>
      </c>
      <c r="D399" s="45" t="s">
        <v>153</v>
      </c>
      <c r="E399" s="46">
        <v>998.0</v>
      </c>
      <c r="F399" s="47">
        <v>998.0</v>
      </c>
      <c r="G399" s="31">
        <v>46059.0</v>
      </c>
      <c r="H399" s="45" t="s">
        <v>114</v>
      </c>
    </row>
    <row r="400" ht="15.75" customHeight="1">
      <c r="A400" s="86">
        <v>46062.0</v>
      </c>
      <c r="B400" s="45" t="s">
        <v>822</v>
      </c>
      <c r="C400" s="45" t="s">
        <v>823</v>
      </c>
      <c r="D400" s="45" t="s">
        <v>113</v>
      </c>
      <c r="E400" s="46">
        <v>499.0</v>
      </c>
      <c r="F400" s="47">
        <v>499.0</v>
      </c>
      <c r="G400" s="31">
        <v>46063.0</v>
      </c>
      <c r="H400" s="45" t="s">
        <v>800</v>
      </c>
    </row>
    <row r="401" ht="15.75" customHeight="1">
      <c r="A401" s="86">
        <v>46065.0</v>
      </c>
      <c r="B401" s="45" t="s">
        <v>824</v>
      </c>
      <c r="C401" s="45" t="s">
        <v>825</v>
      </c>
      <c r="D401" s="45" t="s">
        <v>153</v>
      </c>
      <c r="E401" s="46">
        <v>2625.88</v>
      </c>
      <c r="F401" s="54">
        <v>2625.88</v>
      </c>
      <c r="G401" s="31">
        <v>46065.0</v>
      </c>
      <c r="H401" s="45" t="s">
        <v>826</v>
      </c>
      <c r="I401" s="2" t="s">
        <v>827</v>
      </c>
    </row>
    <row r="402" ht="15.75" customHeight="1">
      <c r="A402" s="86">
        <v>46065.0</v>
      </c>
      <c r="B402" s="45" t="s">
        <v>828</v>
      </c>
      <c r="C402" s="45" t="s">
        <v>829</v>
      </c>
      <c r="D402" s="45" t="s">
        <v>113</v>
      </c>
      <c r="E402" s="46">
        <v>3414.0</v>
      </c>
      <c r="F402" s="47">
        <v>3414.0</v>
      </c>
      <c r="G402" s="31">
        <v>46065.0</v>
      </c>
      <c r="H402" s="45" t="s">
        <v>830</v>
      </c>
      <c r="I402" s="2" t="s">
        <v>701</v>
      </c>
    </row>
    <row r="403" ht="15.75" customHeight="1">
      <c r="A403" s="86">
        <v>46065.0</v>
      </c>
      <c r="B403" s="45" t="s">
        <v>831</v>
      </c>
      <c r="C403" s="45" t="s">
        <v>829</v>
      </c>
      <c r="D403" s="45" t="s">
        <v>832</v>
      </c>
      <c r="E403" s="46">
        <v>5059.0</v>
      </c>
      <c r="F403" s="54">
        <v>5059.0</v>
      </c>
      <c r="G403" s="31">
        <v>46065.0</v>
      </c>
      <c r="H403" s="45" t="s">
        <v>833</v>
      </c>
    </row>
    <row r="404" ht="15.75" customHeight="1">
      <c r="A404" s="86">
        <v>46066.0</v>
      </c>
      <c r="B404" s="45" t="s">
        <v>834</v>
      </c>
      <c r="C404" s="45" t="s">
        <v>835</v>
      </c>
      <c r="D404" s="45" t="s">
        <v>31</v>
      </c>
      <c r="E404" s="46">
        <v>1758.0</v>
      </c>
      <c r="F404" s="54">
        <v>1758.0</v>
      </c>
      <c r="G404" s="31">
        <v>46066.0</v>
      </c>
      <c r="H404" s="45" t="s">
        <v>836</v>
      </c>
    </row>
    <row r="405" ht="15.75" customHeight="1">
      <c r="A405" s="86">
        <v>46068.0</v>
      </c>
      <c r="B405" s="45" t="s">
        <v>837</v>
      </c>
      <c r="C405" s="45" t="s">
        <v>838</v>
      </c>
      <c r="D405" s="45" t="s">
        <v>31</v>
      </c>
      <c r="E405" s="46">
        <v>1000.0</v>
      </c>
      <c r="F405" s="54">
        <v>1000.0</v>
      </c>
      <c r="G405" s="31">
        <v>46069.0</v>
      </c>
      <c r="H405" s="45" t="s">
        <v>839</v>
      </c>
    </row>
    <row r="406" ht="15.75" customHeight="1">
      <c r="A406" s="86">
        <v>46070.0</v>
      </c>
      <c r="B406" s="45" t="s">
        <v>840</v>
      </c>
      <c r="C406" s="45" t="s">
        <v>841</v>
      </c>
      <c r="D406" s="45" t="s">
        <v>113</v>
      </c>
      <c r="E406" s="46">
        <v>559.0</v>
      </c>
      <c r="F406" s="47">
        <v>559.0</v>
      </c>
      <c r="G406" s="31">
        <v>46070.0</v>
      </c>
      <c r="H406" s="45" t="s">
        <v>842</v>
      </c>
      <c r="I406" s="2" t="s">
        <v>843</v>
      </c>
    </row>
    <row r="407" ht="15.75" customHeight="1">
      <c r="A407" s="86">
        <v>46070.0</v>
      </c>
      <c r="B407" s="45" t="s">
        <v>844</v>
      </c>
      <c r="C407" s="45" t="s">
        <v>845</v>
      </c>
      <c r="D407" s="45" t="s">
        <v>122</v>
      </c>
      <c r="E407" s="46">
        <v>1337.0</v>
      </c>
      <c r="F407" s="47">
        <v>1337.0</v>
      </c>
      <c r="G407" s="31">
        <v>46070.0</v>
      </c>
      <c r="H407" s="45" t="s">
        <v>842</v>
      </c>
      <c r="I407" s="2" t="s">
        <v>843</v>
      </c>
    </row>
    <row r="408" ht="15.75" customHeight="1">
      <c r="A408" s="86">
        <v>46073.0</v>
      </c>
      <c r="B408" s="45" t="s">
        <v>846</v>
      </c>
      <c r="C408" s="45" t="s">
        <v>847</v>
      </c>
      <c r="D408" s="61" t="s">
        <v>848</v>
      </c>
      <c r="E408" s="46">
        <v>2874.0</v>
      </c>
      <c r="F408" s="54">
        <v>2435.0</v>
      </c>
      <c r="G408" s="31">
        <v>46074.0</v>
      </c>
      <c r="H408" s="45" t="s">
        <v>114</v>
      </c>
      <c r="I408" s="2" t="s">
        <v>849</v>
      </c>
    </row>
    <row r="409" ht="15.75" customHeight="1">
      <c r="A409" s="86">
        <v>46073.0</v>
      </c>
      <c r="B409" s="45" t="s">
        <v>850</v>
      </c>
      <c r="C409" s="45" t="s">
        <v>851</v>
      </c>
      <c r="D409" s="45" t="s">
        <v>65</v>
      </c>
      <c r="E409" s="46">
        <v>9000.0</v>
      </c>
      <c r="F409" s="54">
        <v>9000.0</v>
      </c>
      <c r="G409" s="31">
        <v>46073.0</v>
      </c>
      <c r="H409" s="45" t="s">
        <v>852</v>
      </c>
      <c r="J409" s="91" t="s">
        <v>853</v>
      </c>
      <c r="L409" s="92" t="s">
        <v>854</v>
      </c>
      <c r="M409" s="93"/>
    </row>
    <row r="410" ht="15.75" customHeight="1">
      <c r="A410" s="87">
        <v>46076.0</v>
      </c>
      <c r="B410" s="42" t="s">
        <v>855</v>
      </c>
      <c r="C410" s="42" t="s">
        <v>856</v>
      </c>
      <c r="D410" s="42" t="s">
        <v>128</v>
      </c>
      <c r="E410" s="43">
        <v>799.0</v>
      </c>
      <c r="F410" s="26" t="s">
        <v>857</v>
      </c>
      <c r="G410" s="27">
        <v>46077.0</v>
      </c>
      <c r="H410" s="42" t="s">
        <v>114</v>
      </c>
      <c r="I410" s="2" t="s">
        <v>858</v>
      </c>
      <c r="J410" s="94"/>
      <c r="L410" s="95">
        <v>1540.0</v>
      </c>
    </row>
    <row r="411" ht="15.75" customHeight="1">
      <c r="A411" s="87">
        <v>46076.0</v>
      </c>
      <c r="B411" s="42" t="s">
        <v>859</v>
      </c>
      <c r="C411" s="42" t="s">
        <v>860</v>
      </c>
      <c r="D411" s="42" t="s">
        <v>113</v>
      </c>
      <c r="E411" s="43">
        <v>799.0</v>
      </c>
      <c r="F411" s="26" t="s">
        <v>857</v>
      </c>
      <c r="G411" s="27">
        <v>46077.0</v>
      </c>
      <c r="H411" s="42" t="s">
        <v>114</v>
      </c>
      <c r="I411" s="2" t="s">
        <v>858</v>
      </c>
      <c r="J411" s="94"/>
      <c r="L411" s="95">
        <v>1579.0</v>
      </c>
    </row>
    <row r="412" ht="15.75" customHeight="1">
      <c r="A412" s="86">
        <v>46076.0</v>
      </c>
      <c r="B412" s="45" t="s">
        <v>861</v>
      </c>
      <c r="C412" s="45" t="s">
        <v>862</v>
      </c>
      <c r="D412" s="45" t="s">
        <v>175</v>
      </c>
      <c r="E412" s="46">
        <v>799.0</v>
      </c>
      <c r="F412" s="54">
        <v>799.0</v>
      </c>
      <c r="G412" s="31">
        <v>46077.0</v>
      </c>
      <c r="H412" s="45" t="s">
        <v>114</v>
      </c>
      <c r="I412" s="2" t="s">
        <v>858</v>
      </c>
      <c r="J412" s="96">
        <v>799.0</v>
      </c>
      <c r="L412" s="95">
        <v>1200.0</v>
      </c>
    </row>
    <row r="413" ht="15.75" customHeight="1">
      <c r="A413" s="86">
        <v>46077.0</v>
      </c>
      <c r="B413" s="45" t="s">
        <v>863</v>
      </c>
      <c r="C413" s="45" t="s">
        <v>864</v>
      </c>
      <c r="D413" s="45" t="s">
        <v>175</v>
      </c>
      <c r="E413" s="46">
        <v>2075.0</v>
      </c>
      <c r="F413" s="47">
        <v>2075.0</v>
      </c>
      <c r="G413" s="31">
        <v>46077.0</v>
      </c>
      <c r="H413" s="45" t="s">
        <v>324</v>
      </c>
      <c r="I413" s="2" t="s">
        <v>858</v>
      </c>
      <c r="J413" s="96">
        <v>2075.0</v>
      </c>
      <c r="L413" s="97">
        <v>1600.0</v>
      </c>
    </row>
    <row r="414" ht="15.75" customHeight="1">
      <c r="A414" s="87">
        <v>46077.0</v>
      </c>
      <c r="B414" s="42" t="s">
        <v>865</v>
      </c>
      <c r="C414" s="42" t="s">
        <v>866</v>
      </c>
      <c r="D414" s="42" t="s">
        <v>175</v>
      </c>
      <c r="E414" s="43">
        <v>799.0</v>
      </c>
      <c r="F414" s="26" t="s">
        <v>857</v>
      </c>
      <c r="G414" s="27">
        <v>46078.0</v>
      </c>
      <c r="H414" s="42" t="s">
        <v>114</v>
      </c>
      <c r="I414" s="2" t="s">
        <v>858</v>
      </c>
      <c r="J414" s="94"/>
      <c r="L414" s="98">
        <f>SUM(L410:L413)</f>
        <v>5919</v>
      </c>
    </row>
    <row r="415" ht="15.75" customHeight="1">
      <c r="A415" s="86">
        <v>46079.0</v>
      </c>
      <c r="B415" s="45" t="s">
        <v>867</v>
      </c>
      <c r="C415" s="45" t="s">
        <v>868</v>
      </c>
      <c r="D415" s="45" t="s">
        <v>175</v>
      </c>
      <c r="E415" s="46">
        <v>1710.0</v>
      </c>
      <c r="F415" s="47">
        <v>1710.0</v>
      </c>
      <c r="G415" s="31">
        <v>46080.0</v>
      </c>
      <c r="H415" s="45" t="s">
        <v>480</v>
      </c>
      <c r="I415" s="2" t="s">
        <v>858</v>
      </c>
      <c r="J415" s="96">
        <v>1710.0</v>
      </c>
      <c r="L415" s="99">
        <v>1180.0</v>
      </c>
    </row>
    <row r="416" ht="15.75" customHeight="1">
      <c r="A416" s="87">
        <v>46079.0</v>
      </c>
      <c r="B416" s="42" t="s">
        <v>869</v>
      </c>
      <c r="C416" s="42" t="s">
        <v>870</v>
      </c>
      <c r="D416" s="42" t="s">
        <v>113</v>
      </c>
      <c r="E416" s="43">
        <v>799.0</v>
      </c>
      <c r="F416" s="26" t="s">
        <v>857</v>
      </c>
      <c r="G416" s="27">
        <v>46080.0</v>
      </c>
      <c r="H416" s="42" t="s">
        <v>114</v>
      </c>
      <c r="I416" s="2" t="s">
        <v>858</v>
      </c>
      <c r="J416" s="94"/>
      <c r="L416" s="100">
        <v>4759.0</v>
      </c>
    </row>
    <row r="417" ht="15.75" customHeight="1">
      <c r="A417" s="86">
        <v>46079.0</v>
      </c>
      <c r="B417" s="45" t="s">
        <v>871</v>
      </c>
      <c r="C417" s="45" t="s">
        <v>872</v>
      </c>
      <c r="D417" s="45" t="s">
        <v>128</v>
      </c>
      <c r="E417" s="46">
        <v>799.0</v>
      </c>
      <c r="F417" s="54">
        <v>799.0</v>
      </c>
      <c r="G417" s="31">
        <v>46080.0</v>
      </c>
      <c r="H417" s="45" t="s">
        <v>114</v>
      </c>
      <c r="J417" s="94"/>
      <c r="L417" s="101"/>
    </row>
    <row r="418" ht="15.75" customHeight="1">
      <c r="A418" s="87">
        <v>46079.0</v>
      </c>
      <c r="B418" s="42" t="s">
        <v>873</v>
      </c>
      <c r="C418" s="42" t="s">
        <v>874</v>
      </c>
      <c r="D418" s="42" t="s">
        <v>122</v>
      </c>
      <c r="E418" s="43">
        <v>849.0</v>
      </c>
      <c r="F418" s="26" t="s">
        <v>32</v>
      </c>
      <c r="G418" s="27">
        <v>46080.0</v>
      </c>
      <c r="H418" s="42" t="s">
        <v>434</v>
      </c>
      <c r="I418" s="2" t="s">
        <v>875</v>
      </c>
      <c r="J418" s="94"/>
      <c r="L418" s="102"/>
    </row>
    <row r="419" ht="15.75" customHeight="1">
      <c r="A419" s="87">
        <v>46080.0</v>
      </c>
      <c r="B419" s="42" t="s">
        <v>876</v>
      </c>
      <c r="C419" s="42" t="s">
        <v>866</v>
      </c>
      <c r="D419" s="42" t="s">
        <v>167</v>
      </c>
      <c r="E419" s="43">
        <v>998.0</v>
      </c>
      <c r="F419" s="26" t="s">
        <v>857</v>
      </c>
      <c r="G419" s="27">
        <v>46081.0</v>
      </c>
      <c r="H419" s="42" t="s">
        <v>437</v>
      </c>
      <c r="I419" s="2" t="s">
        <v>858</v>
      </c>
      <c r="J419" s="94"/>
      <c r="L419" s="102"/>
    </row>
    <row r="420" ht="15.75" customHeight="1">
      <c r="A420" s="86">
        <v>46080.0</v>
      </c>
      <c r="B420" s="45" t="s">
        <v>877</v>
      </c>
      <c r="C420" s="45" t="s">
        <v>878</v>
      </c>
      <c r="D420" s="45" t="s">
        <v>122</v>
      </c>
      <c r="E420" s="46">
        <v>799.0</v>
      </c>
      <c r="F420" s="47">
        <v>799.0</v>
      </c>
      <c r="G420" s="31">
        <v>46081.0</v>
      </c>
      <c r="H420" s="45" t="s">
        <v>480</v>
      </c>
      <c r="I420" s="2" t="s">
        <v>858</v>
      </c>
      <c r="J420" s="96">
        <v>799.0</v>
      </c>
      <c r="L420" s="102"/>
    </row>
    <row r="421" ht="15.75" customHeight="1">
      <c r="A421" s="86">
        <v>46080.0</v>
      </c>
      <c r="B421" s="45" t="s">
        <v>879</v>
      </c>
      <c r="C421" s="45" t="s">
        <v>880</v>
      </c>
      <c r="D421" s="45" t="s">
        <v>122</v>
      </c>
      <c r="E421" s="46">
        <v>1709.82</v>
      </c>
      <c r="F421" s="47">
        <v>1709.82</v>
      </c>
      <c r="G421" s="31">
        <v>46083.0</v>
      </c>
      <c r="H421" s="45" t="s">
        <v>434</v>
      </c>
      <c r="I421" s="2" t="s">
        <v>858</v>
      </c>
      <c r="J421" s="96">
        <v>1709.82</v>
      </c>
      <c r="L421" s="102"/>
    </row>
    <row r="422" ht="15.75" customHeight="1">
      <c r="A422" s="86">
        <v>46081.0</v>
      </c>
      <c r="B422" s="45" t="s">
        <v>881</v>
      </c>
      <c r="C422" s="45" t="s">
        <v>874</v>
      </c>
      <c r="D422" s="45" t="s">
        <v>113</v>
      </c>
      <c r="E422" s="46">
        <v>799.0</v>
      </c>
      <c r="F422" s="47">
        <v>799.0</v>
      </c>
      <c r="G422" s="31">
        <v>46082.0</v>
      </c>
      <c r="H422" s="45" t="s">
        <v>830</v>
      </c>
      <c r="I422" s="2" t="s">
        <v>858</v>
      </c>
      <c r="J422" s="96">
        <v>799.0</v>
      </c>
      <c r="L422" s="103"/>
    </row>
    <row r="423" ht="15.75" customHeight="1">
      <c r="A423" s="86">
        <v>46081.0</v>
      </c>
      <c r="B423" s="45" t="s">
        <v>882</v>
      </c>
      <c r="C423" s="45" t="s">
        <v>874</v>
      </c>
      <c r="D423" s="45" t="s">
        <v>122</v>
      </c>
      <c r="E423" s="46">
        <v>799.0</v>
      </c>
      <c r="F423" s="54">
        <v>799.0</v>
      </c>
      <c r="G423" s="31">
        <v>46082.0</v>
      </c>
      <c r="H423" s="45" t="s">
        <v>114</v>
      </c>
      <c r="I423" s="2" t="s">
        <v>858</v>
      </c>
      <c r="J423" s="96">
        <v>799.0</v>
      </c>
      <c r="L423" s="104"/>
    </row>
    <row r="424" ht="15.75" customHeight="1">
      <c r="A424" s="87">
        <v>46084.0</v>
      </c>
      <c r="B424" s="42" t="s">
        <v>883</v>
      </c>
      <c r="C424" s="42" t="s">
        <v>884</v>
      </c>
      <c r="D424" s="42" t="s">
        <v>113</v>
      </c>
      <c r="E424" s="43">
        <v>1245.0</v>
      </c>
      <c r="F424" s="26" t="s">
        <v>857</v>
      </c>
      <c r="G424" s="27">
        <v>46085.0</v>
      </c>
      <c r="H424" s="42" t="s">
        <v>114</v>
      </c>
      <c r="I424" s="2" t="s">
        <v>858</v>
      </c>
      <c r="J424" s="94"/>
      <c r="L424" s="102"/>
    </row>
    <row r="425" ht="15.75" customHeight="1">
      <c r="A425" s="87">
        <v>46084.0</v>
      </c>
      <c r="B425" s="42" t="s">
        <v>885</v>
      </c>
      <c r="C425" s="42" t="s">
        <v>886</v>
      </c>
      <c r="D425" s="42" t="s">
        <v>113</v>
      </c>
      <c r="E425" s="43">
        <v>860.0</v>
      </c>
      <c r="F425" s="26" t="s">
        <v>32</v>
      </c>
      <c r="G425" s="27">
        <v>46096.0</v>
      </c>
      <c r="H425" s="42" t="s">
        <v>114</v>
      </c>
      <c r="I425" s="2" t="s">
        <v>858</v>
      </c>
      <c r="J425" s="94"/>
      <c r="L425" s="102"/>
    </row>
    <row r="426" ht="15.75" customHeight="1">
      <c r="A426" s="87">
        <v>46085.0</v>
      </c>
      <c r="B426" s="42" t="s">
        <v>887</v>
      </c>
      <c r="C426" s="42" t="s">
        <v>860</v>
      </c>
      <c r="D426" s="42" t="s">
        <v>153</v>
      </c>
      <c r="E426" s="43">
        <v>799.0</v>
      </c>
      <c r="F426" s="26" t="s">
        <v>857</v>
      </c>
      <c r="G426" s="27">
        <v>46086.0</v>
      </c>
      <c r="H426" s="42" t="s">
        <v>114</v>
      </c>
      <c r="I426" s="2" t="s">
        <v>858</v>
      </c>
      <c r="J426" s="94"/>
      <c r="L426" s="105"/>
    </row>
    <row r="427" ht="15.75" customHeight="1">
      <c r="A427" s="87">
        <v>46086.0</v>
      </c>
      <c r="B427" s="42" t="s">
        <v>888</v>
      </c>
      <c r="C427" s="42" t="s">
        <v>874</v>
      </c>
      <c r="D427" s="42" t="s">
        <v>153</v>
      </c>
      <c r="E427" s="43">
        <v>799.0</v>
      </c>
      <c r="F427" s="26" t="s">
        <v>857</v>
      </c>
      <c r="G427" s="27">
        <v>46087.0</v>
      </c>
      <c r="H427" s="42" t="s">
        <v>114</v>
      </c>
      <c r="I427" s="2" t="s">
        <v>858</v>
      </c>
      <c r="J427" s="94"/>
      <c r="L427" s="105"/>
    </row>
    <row r="428" ht="15.75" customHeight="1">
      <c r="A428" s="86">
        <v>46086.0</v>
      </c>
      <c r="B428" s="45" t="s">
        <v>889</v>
      </c>
      <c r="C428" s="45" t="s">
        <v>890</v>
      </c>
      <c r="D428" s="45" t="s">
        <v>118</v>
      </c>
      <c r="E428" s="46">
        <v>1386.0</v>
      </c>
      <c r="F428" s="47">
        <v>1386.0</v>
      </c>
      <c r="G428" s="31">
        <v>46087.0</v>
      </c>
      <c r="H428" s="45" t="s">
        <v>480</v>
      </c>
      <c r="I428" s="2" t="s">
        <v>858</v>
      </c>
      <c r="J428" s="96">
        <v>1386.0</v>
      </c>
      <c r="L428" s="105"/>
    </row>
    <row r="429" ht="15.75" customHeight="1">
      <c r="A429" s="86">
        <v>46087.0</v>
      </c>
      <c r="B429" s="45" t="s">
        <v>891</v>
      </c>
      <c r="C429" s="45" t="s">
        <v>860</v>
      </c>
      <c r="D429" s="45" t="s">
        <v>122</v>
      </c>
      <c r="E429" s="46">
        <v>799.0</v>
      </c>
      <c r="F429" s="54">
        <v>799.0</v>
      </c>
      <c r="G429" s="31">
        <v>46088.0</v>
      </c>
      <c r="H429" s="45" t="s">
        <v>114</v>
      </c>
      <c r="I429" s="2" t="s">
        <v>858</v>
      </c>
      <c r="J429" s="96">
        <v>799.0</v>
      </c>
      <c r="L429" s="105"/>
      <c r="N429" s="106"/>
    </row>
    <row r="430" ht="15.75" customHeight="1">
      <c r="A430" s="86">
        <v>46087.0</v>
      </c>
      <c r="B430" s="45" t="s">
        <v>892</v>
      </c>
      <c r="C430" s="45" t="s">
        <v>893</v>
      </c>
      <c r="D430" s="45" t="s">
        <v>113</v>
      </c>
      <c r="E430" s="46">
        <v>499.0</v>
      </c>
      <c r="F430" s="47">
        <v>250.0</v>
      </c>
      <c r="G430" s="31">
        <v>46088.0</v>
      </c>
      <c r="H430" s="45" t="s">
        <v>114</v>
      </c>
      <c r="I430" s="2" t="s">
        <v>858</v>
      </c>
      <c r="J430" s="96">
        <v>499.0</v>
      </c>
      <c r="L430" s="105"/>
      <c r="N430" s="102"/>
    </row>
    <row r="431" ht="15.75" customHeight="1">
      <c r="A431" s="107">
        <v>46088.0</v>
      </c>
      <c r="B431" s="62" t="s">
        <v>894</v>
      </c>
      <c r="C431" s="62" t="s">
        <v>895</v>
      </c>
      <c r="D431" s="62" t="s">
        <v>122</v>
      </c>
      <c r="E431" s="63">
        <v>1596.0</v>
      </c>
      <c r="F431" s="66">
        <v>1596.0</v>
      </c>
      <c r="G431" s="23">
        <v>46089.0</v>
      </c>
      <c r="H431" s="62" t="s">
        <v>114</v>
      </c>
      <c r="I431" s="2"/>
      <c r="J431" s="94"/>
      <c r="L431" s="103"/>
      <c r="N431" s="102"/>
    </row>
    <row r="432" ht="15.75" customHeight="1">
      <c r="A432" s="86">
        <v>46088.0</v>
      </c>
      <c r="B432" s="45" t="s">
        <v>896</v>
      </c>
      <c r="C432" s="45" t="s">
        <v>897</v>
      </c>
      <c r="D432" s="45" t="s">
        <v>175</v>
      </c>
      <c r="E432" s="46">
        <v>478.0</v>
      </c>
      <c r="F432" s="47">
        <v>478.0</v>
      </c>
      <c r="G432" s="31">
        <v>46089.0</v>
      </c>
      <c r="H432" s="45" t="s">
        <v>324</v>
      </c>
      <c r="I432" s="2" t="s">
        <v>898</v>
      </c>
      <c r="J432" s="94"/>
      <c r="L432" s="103"/>
      <c r="N432" s="101"/>
    </row>
    <row r="433" ht="15.75" customHeight="1">
      <c r="A433" s="86">
        <v>46090.0</v>
      </c>
      <c r="B433" s="45" t="s">
        <v>899</v>
      </c>
      <c r="C433" s="45" t="s">
        <v>860</v>
      </c>
      <c r="D433" s="45" t="s">
        <v>128</v>
      </c>
      <c r="E433" s="46">
        <v>799.0</v>
      </c>
      <c r="F433" s="54">
        <v>799.0</v>
      </c>
      <c r="G433" s="31">
        <v>46091.0</v>
      </c>
      <c r="H433" s="45" t="s">
        <v>114</v>
      </c>
      <c r="I433" s="2" t="s">
        <v>900</v>
      </c>
      <c r="J433" s="94"/>
      <c r="N433" s="102"/>
    </row>
    <row r="434" ht="15.75" customHeight="1">
      <c r="A434" s="87">
        <v>46091.0</v>
      </c>
      <c r="B434" s="42" t="s">
        <v>901</v>
      </c>
      <c r="C434" s="42" t="s">
        <v>902</v>
      </c>
      <c r="D434" s="42" t="s">
        <v>113</v>
      </c>
      <c r="E434" s="43">
        <v>799.0</v>
      </c>
      <c r="F434" s="26" t="s">
        <v>857</v>
      </c>
      <c r="G434" s="27">
        <v>46092.0</v>
      </c>
      <c r="H434" s="42" t="s">
        <v>114</v>
      </c>
      <c r="I434" s="2" t="s">
        <v>858</v>
      </c>
      <c r="J434" s="94"/>
      <c r="N434" s="101"/>
    </row>
    <row r="435" ht="15.75" customHeight="1">
      <c r="A435" s="86">
        <v>46092.0</v>
      </c>
      <c r="B435" s="45" t="s">
        <v>903</v>
      </c>
      <c r="C435" s="45" t="s">
        <v>904</v>
      </c>
      <c r="D435" s="45" t="s">
        <v>113</v>
      </c>
      <c r="E435" s="46">
        <v>799.0</v>
      </c>
      <c r="F435" s="54">
        <v>799.0</v>
      </c>
      <c r="G435" s="31">
        <v>46093.0</v>
      </c>
      <c r="H435" s="45" t="s">
        <v>114</v>
      </c>
      <c r="I435" s="2" t="s">
        <v>858</v>
      </c>
      <c r="J435" s="96">
        <v>799.0</v>
      </c>
      <c r="N435" s="102"/>
    </row>
    <row r="436" ht="15.75" customHeight="1">
      <c r="A436" s="86">
        <v>46093.0</v>
      </c>
      <c r="B436" s="45" t="s">
        <v>905</v>
      </c>
      <c r="C436" s="45" t="s">
        <v>906</v>
      </c>
      <c r="D436" s="45" t="s">
        <v>128</v>
      </c>
      <c r="E436" s="46">
        <v>1605.0</v>
      </c>
      <c r="F436" s="54">
        <v>1605.0</v>
      </c>
      <c r="G436" s="31">
        <v>46094.0</v>
      </c>
      <c r="H436" s="45" t="s">
        <v>907</v>
      </c>
      <c r="I436" s="2" t="s">
        <v>858</v>
      </c>
      <c r="J436" s="96">
        <v>1605.0</v>
      </c>
      <c r="N436" s="101"/>
    </row>
    <row r="437" ht="15.75" customHeight="1">
      <c r="A437" s="86">
        <v>46093.0</v>
      </c>
      <c r="B437" s="45" t="s">
        <v>908</v>
      </c>
      <c r="C437" s="45" t="s">
        <v>909</v>
      </c>
      <c r="D437" s="45" t="s">
        <v>167</v>
      </c>
      <c r="E437" s="46">
        <v>1438.0</v>
      </c>
      <c r="F437" s="54">
        <v>1438.0</v>
      </c>
      <c r="G437" s="31">
        <v>46093.0</v>
      </c>
      <c r="H437" s="45" t="s">
        <v>114</v>
      </c>
      <c r="I437" s="2" t="s">
        <v>858</v>
      </c>
      <c r="J437" s="96">
        <v>1438.0</v>
      </c>
      <c r="N437" s="101"/>
    </row>
    <row r="438" ht="15.75" customHeight="1">
      <c r="A438" s="86">
        <v>46094.0</v>
      </c>
      <c r="B438" s="45" t="s">
        <v>910</v>
      </c>
      <c r="C438" s="45" t="s">
        <v>860</v>
      </c>
      <c r="D438" s="45" t="s">
        <v>113</v>
      </c>
      <c r="E438" s="46">
        <v>799.0</v>
      </c>
      <c r="F438" s="47">
        <v>799.0</v>
      </c>
      <c r="G438" s="31">
        <v>46095.0</v>
      </c>
      <c r="H438" s="45" t="s">
        <v>324</v>
      </c>
      <c r="I438" s="2" t="s">
        <v>858</v>
      </c>
      <c r="J438" s="96">
        <v>799.0</v>
      </c>
      <c r="N438" s="102"/>
    </row>
    <row r="439" ht="15.75" customHeight="1">
      <c r="A439" s="86">
        <v>46094.0</v>
      </c>
      <c r="B439" s="45" t="s">
        <v>911</v>
      </c>
      <c r="C439" s="45" t="s">
        <v>694</v>
      </c>
      <c r="D439" s="45" t="s">
        <v>122</v>
      </c>
      <c r="E439" s="46">
        <v>1266.0</v>
      </c>
      <c r="F439" s="47">
        <v>1266.0</v>
      </c>
      <c r="G439" s="31">
        <v>46095.0</v>
      </c>
      <c r="H439" s="45" t="s">
        <v>912</v>
      </c>
      <c r="I439" s="2" t="s">
        <v>858</v>
      </c>
      <c r="J439" s="96">
        <v>1266.0</v>
      </c>
      <c r="N439" s="102"/>
    </row>
    <row r="440" ht="15.75" customHeight="1">
      <c r="A440" s="86">
        <v>46094.0</v>
      </c>
      <c r="B440" s="45" t="s">
        <v>913</v>
      </c>
      <c r="C440" s="45" t="s">
        <v>766</v>
      </c>
      <c r="D440" s="45" t="s">
        <v>128</v>
      </c>
      <c r="E440" s="46">
        <v>1800.0</v>
      </c>
      <c r="F440" s="54">
        <v>1800.0</v>
      </c>
      <c r="G440" s="31">
        <v>46095.0</v>
      </c>
      <c r="H440" s="45" t="s">
        <v>560</v>
      </c>
      <c r="J440" s="94"/>
      <c r="N440" s="102"/>
    </row>
    <row r="441" ht="15.75" customHeight="1">
      <c r="A441" s="87">
        <v>46094.0</v>
      </c>
      <c r="B441" s="42" t="s">
        <v>914</v>
      </c>
      <c r="C441" s="42" t="s">
        <v>886</v>
      </c>
      <c r="D441" s="42" t="s">
        <v>128</v>
      </c>
      <c r="E441" s="43">
        <v>799.0</v>
      </c>
      <c r="F441" s="26" t="s">
        <v>857</v>
      </c>
      <c r="G441" s="27">
        <v>46095.0</v>
      </c>
      <c r="H441" s="42" t="s">
        <v>114</v>
      </c>
      <c r="I441" s="2" t="s">
        <v>915</v>
      </c>
      <c r="J441" s="94"/>
      <c r="N441" s="102"/>
    </row>
    <row r="442" ht="15.75" customHeight="1">
      <c r="A442" s="87">
        <v>46096.0</v>
      </c>
      <c r="B442" s="42" t="s">
        <v>916</v>
      </c>
      <c r="C442" s="42" t="s">
        <v>694</v>
      </c>
      <c r="D442" s="42" t="s">
        <v>113</v>
      </c>
      <c r="E442" s="43">
        <v>1197.0</v>
      </c>
      <c r="F442" s="26" t="s">
        <v>119</v>
      </c>
      <c r="G442" s="27">
        <v>46097.0</v>
      </c>
      <c r="H442" s="42" t="s">
        <v>114</v>
      </c>
      <c r="I442" s="2" t="s">
        <v>917</v>
      </c>
      <c r="J442" s="94"/>
      <c r="N442" s="103"/>
    </row>
    <row r="443" ht="15.75" customHeight="1">
      <c r="A443" s="86">
        <v>46096.0</v>
      </c>
      <c r="B443" s="45" t="s">
        <v>918</v>
      </c>
      <c r="C443" s="45" t="s">
        <v>919</v>
      </c>
      <c r="D443" s="45" t="s">
        <v>122</v>
      </c>
      <c r="E443" s="46">
        <v>1200.0</v>
      </c>
      <c r="F443" s="47">
        <v>1200.0</v>
      </c>
      <c r="G443" s="31">
        <v>46097.0</v>
      </c>
      <c r="H443" s="45" t="s">
        <v>800</v>
      </c>
      <c r="I443" s="2" t="s">
        <v>920</v>
      </c>
      <c r="J443" s="94"/>
      <c r="N443" s="104"/>
    </row>
    <row r="444" ht="15.75" customHeight="1">
      <c r="A444" s="86">
        <v>46097.0</v>
      </c>
      <c r="B444" s="45" t="s">
        <v>921</v>
      </c>
      <c r="C444" s="45" t="s">
        <v>922</v>
      </c>
      <c r="D444" s="45" t="s">
        <v>167</v>
      </c>
      <c r="E444" s="46">
        <v>1690.0</v>
      </c>
      <c r="F444" s="54">
        <v>1690.0</v>
      </c>
      <c r="G444" s="31">
        <v>46098.0</v>
      </c>
      <c r="H444" s="45" t="s">
        <v>114</v>
      </c>
      <c r="J444" s="94"/>
      <c r="N444" s="102"/>
    </row>
    <row r="445" ht="15.75" customHeight="1">
      <c r="A445" s="86">
        <v>46097.0</v>
      </c>
      <c r="B445" s="45" t="s">
        <v>923</v>
      </c>
      <c r="C445" s="45" t="s">
        <v>904</v>
      </c>
      <c r="D445" s="45" t="s">
        <v>175</v>
      </c>
      <c r="E445" s="46">
        <v>799.0</v>
      </c>
      <c r="F445" s="54">
        <v>799.0</v>
      </c>
      <c r="G445" s="31">
        <v>46098.0</v>
      </c>
      <c r="H445" s="45" t="s">
        <v>114</v>
      </c>
      <c r="I445" s="2" t="s">
        <v>858</v>
      </c>
      <c r="J445" s="96">
        <v>799.0</v>
      </c>
      <c r="N445" s="102"/>
    </row>
    <row r="446" ht="15.75" customHeight="1">
      <c r="A446" s="86">
        <v>46097.0</v>
      </c>
      <c r="B446" s="45" t="s">
        <v>464</v>
      </c>
      <c r="C446" s="45" t="s">
        <v>874</v>
      </c>
      <c r="D446" s="45" t="s">
        <v>704</v>
      </c>
      <c r="E446" s="46">
        <v>2290.0</v>
      </c>
      <c r="F446" s="54">
        <v>2290.0</v>
      </c>
      <c r="G446" s="31">
        <v>46098.0</v>
      </c>
      <c r="H446" s="45" t="s">
        <v>480</v>
      </c>
      <c r="I446" s="2" t="s">
        <v>924</v>
      </c>
      <c r="J446" s="94"/>
      <c r="N446" s="105"/>
    </row>
    <row r="447" ht="15.75" customHeight="1">
      <c r="A447" s="86">
        <v>46097.0</v>
      </c>
      <c r="B447" s="45" t="s">
        <v>205</v>
      </c>
      <c r="C447" s="45" t="s">
        <v>925</v>
      </c>
      <c r="D447" s="45" t="s">
        <v>153</v>
      </c>
      <c r="E447" s="46">
        <v>799.0</v>
      </c>
      <c r="F447" s="54">
        <v>799.0</v>
      </c>
      <c r="G447" s="31">
        <v>46098.0</v>
      </c>
      <c r="H447" s="45" t="s">
        <v>926</v>
      </c>
      <c r="I447" s="2" t="s">
        <v>858</v>
      </c>
      <c r="J447" s="96">
        <v>799.0</v>
      </c>
      <c r="N447" s="105"/>
    </row>
    <row r="448" ht="15.75" customHeight="1">
      <c r="A448" s="87">
        <v>46098.0</v>
      </c>
      <c r="B448" s="42" t="s">
        <v>927</v>
      </c>
      <c r="C448" s="42" t="s">
        <v>860</v>
      </c>
      <c r="D448" s="42" t="s">
        <v>175</v>
      </c>
      <c r="E448" s="43">
        <v>799.0</v>
      </c>
      <c r="F448" s="26" t="s">
        <v>32</v>
      </c>
      <c r="G448" s="27">
        <v>46099.0</v>
      </c>
      <c r="H448" s="42" t="s">
        <v>114</v>
      </c>
      <c r="I448" s="2" t="s">
        <v>858</v>
      </c>
      <c r="J448" s="94"/>
      <c r="N448" s="105"/>
    </row>
    <row r="449" ht="15.75" customHeight="1">
      <c r="A449" s="87">
        <v>46098.0</v>
      </c>
      <c r="B449" s="42" t="s">
        <v>928</v>
      </c>
      <c r="C449" s="42" t="s">
        <v>929</v>
      </c>
      <c r="D449" s="42" t="s">
        <v>27</v>
      </c>
      <c r="E449" s="43">
        <v>1341.0</v>
      </c>
      <c r="F449" s="26" t="s">
        <v>857</v>
      </c>
      <c r="G449" s="27">
        <v>46099.0</v>
      </c>
      <c r="H449" s="42" t="s">
        <v>324</v>
      </c>
      <c r="I449" s="2" t="s">
        <v>858</v>
      </c>
      <c r="J449" s="94"/>
      <c r="N449" s="105"/>
    </row>
    <row r="450" ht="15.75" customHeight="1">
      <c r="A450" s="87">
        <v>46100.0</v>
      </c>
      <c r="B450" s="42" t="s">
        <v>930</v>
      </c>
      <c r="C450" s="42" t="s">
        <v>860</v>
      </c>
      <c r="D450" s="42" t="s">
        <v>175</v>
      </c>
      <c r="E450" s="43">
        <v>799.0</v>
      </c>
      <c r="F450" s="26" t="s">
        <v>857</v>
      </c>
      <c r="G450" s="27">
        <v>46101.0</v>
      </c>
      <c r="H450" s="42" t="s">
        <v>324</v>
      </c>
      <c r="I450" s="2" t="s">
        <v>858</v>
      </c>
      <c r="J450" s="94"/>
      <c r="N450" s="105"/>
    </row>
    <row r="451" ht="15.75" customHeight="1">
      <c r="A451" s="87">
        <v>46100.0</v>
      </c>
      <c r="B451" s="42" t="s">
        <v>931</v>
      </c>
      <c r="C451" s="42" t="s">
        <v>768</v>
      </c>
      <c r="D451" s="42" t="s">
        <v>167</v>
      </c>
      <c r="E451" s="43">
        <v>1349.0</v>
      </c>
      <c r="F451" s="26">
        <v>674.5</v>
      </c>
      <c r="G451" s="70">
        <v>46101.0</v>
      </c>
      <c r="H451" s="42" t="s">
        <v>932</v>
      </c>
      <c r="I451" s="2" t="s">
        <v>858</v>
      </c>
      <c r="J451" s="96">
        <v>1349.0</v>
      </c>
      <c r="N451" s="103"/>
    </row>
    <row r="452" ht="15.75" customHeight="1">
      <c r="A452" s="86">
        <v>46103.0</v>
      </c>
      <c r="B452" s="45" t="s">
        <v>933</v>
      </c>
      <c r="C452" s="45" t="s">
        <v>860</v>
      </c>
      <c r="D452" s="45" t="s">
        <v>153</v>
      </c>
      <c r="E452" s="46">
        <v>799.0</v>
      </c>
      <c r="F452" s="47">
        <v>799.0</v>
      </c>
      <c r="G452" s="31">
        <v>46104.0</v>
      </c>
      <c r="H452" s="45" t="s">
        <v>324</v>
      </c>
      <c r="I452" s="2" t="s">
        <v>858</v>
      </c>
      <c r="J452" s="96">
        <v>799.0</v>
      </c>
      <c r="N452" s="103"/>
    </row>
    <row r="453" ht="15.75" customHeight="1">
      <c r="A453" s="86">
        <v>46103.0</v>
      </c>
      <c r="B453" s="45" t="s">
        <v>934</v>
      </c>
      <c r="C453" s="45" t="s">
        <v>935</v>
      </c>
      <c r="D453" s="45" t="s">
        <v>113</v>
      </c>
      <c r="E453" s="46">
        <v>799.0</v>
      </c>
      <c r="F453" s="54">
        <v>799.0</v>
      </c>
      <c r="G453" s="31">
        <v>46103.0</v>
      </c>
      <c r="H453" s="45" t="s">
        <v>324</v>
      </c>
      <c r="I453" s="2" t="s">
        <v>858</v>
      </c>
      <c r="J453" s="96">
        <v>799.0</v>
      </c>
      <c r="N453" s="102"/>
    </row>
    <row r="454" ht="15.75" customHeight="1">
      <c r="A454" s="87">
        <v>46104.0</v>
      </c>
      <c r="B454" s="42" t="s">
        <v>936</v>
      </c>
      <c r="C454" s="42" t="s">
        <v>937</v>
      </c>
      <c r="D454" s="42" t="s">
        <v>122</v>
      </c>
      <c r="E454" s="43">
        <v>1266.0</v>
      </c>
      <c r="F454" s="26" t="s">
        <v>857</v>
      </c>
      <c r="G454" s="27">
        <v>46105.0</v>
      </c>
      <c r="H454" s="42" t="s">
        <v>114</v>
      </c>
      <c r="I454" s="2" t="s">
        <v>858</v>
      </c>
      <c r="J454" s="94"/>
      <c r="N454" s="102"/>
    </row>
    <row r="455" ht="15.75" customHeight="1">
      <c r="A455" s="86">
        <v>46104.0</v>
      </c>
      <c r="B455" s="45" t="s">
        <v>938</v>
      </c>
      <c r="C455" s="45" t="s">
        <v>929</v>
      </c>
      <c r="D455" s="45" t="s">
        <v>118</v>
      </c>
      <c r="E455" s="46">
        <v>1290.0</v>
      </c>
      <c r="F455" s="47">
        <v>1290.0</v>
      </c>
      <c r="G455" s="31">
        <v>46105.0</v>
      </c>
      <c r="H455" s="45" t="s">
        <v>480</v>
      </c>
      <c r="I455" s="2" t="s">
        <v>858</v>
      </c>
      <c r="J455" s="96">
        <v>1290.0</v>
      </c>
      <c r="N455" s="103"/>
    </row>
    <row r="456" ht="15.75" customHeight="1">
      <c r="A456" s="86">
        <v>46105.0</v>
      </c>
      <c r="B456" s="45" t="s">
        <v>939</v>
      </c>
      <c r="C456" s="45" t="s">
        <v>935</v>
      </c>
      <c r="D456" s="45" t="s">
        <v>175</v>
      </c>
      <c r="E456" s="46">
        <v>799.0</v>
      </c>
      <c r="F456" s="47">
        <v>799.0</v>
      </c>
      <c r="G456" s="31">
        <v>46105.0</v>
      </c>
      <c r="H456" s="45" t="s">
        <v>114</v>
      </c>
      <c r="I456" s="2" t="s">
        <v>858</v>
      </c>
      <c r="J456" s="96">
        <v>799.0</v>
      </c>
      <c r="N456" s="102"/>
    </row>
    <row r="457" ht="15.75" customHeight="1">
      <c r="A457" s="86">
        <v>46105.0</v>
      </c>
      <c r="B457" s="45" t="s">
        <v>940</v>
      </c>
      <c r="C457" s="45" t="s">
        <v>884</v>
      </c>
      <c r="D457" s="45" t="s">
        <v>941</v>
      </c>
      <c r="E457" s="46">
        <v>1198.0</v>
      </c>
      <c r="F457" s="54">
        <v>1198.0</v>
      </c>
      <c r="G457" s="72">
        <v>46105.0</v>
      </c>
      <c r="H457" s="45" t="s">
        <v>114</v>
      </c>
      <c r="I457" s="2" t="s">
        <v>858</v>
      </c>
      <c r="J457" s="96">
        <v>1198.0</v>
      </c>
      <c r="N457" s="102"/>
    </row>
    <row r="458" ht="15.75" customHeight="1">
      <c r="A458" s="87">
        <v>46105.0</v>
      </c>
      <c r="B458" s="42" t="s">
        <v>942</v>
      </c>
      <c r="C458" s="42" t="s">
        <v>860</v>
      </c>
      <c r="D458" s="42" t="s">
        <v>118</v>
      </c>
      <c r="E458" s="43">
        <v>899.0</v>
      </c>
      <c r="F458" s="26" t="s">
        <v>857</v>
      </c>
      <c r="G458" s="27">
        <v>46106.0</v>
      </c>
      <c r="H458" s="42" t="s">
        <v>324</v>
      </c>
      <c r="I458" s="2" t="s">
        <v>858</v>
      </c>
      <c r="J458" s="94"/>
      <c r="N458" s="102"/>
    </row>
    <row r="459" ht="15.75" customHeight="1">
      <c r="A459" s="87">
        <v>46106.0</v>
      </c>
      <c r="B459" s="42" t="s">
        <v>943</v>
      </c>
      <c r="C459" s="42" t="s">
        <v>937</v>
      </c>
      <c r="D459" s="42" t="s">
        <v>113</v>
      </c>
      <c r="E459" s="43">
        <v>1197.0</v>
      </c>
      <c r="F459" s="26" t="s">
        <v>119</v>
      </c>
      <c r="G459" s="27">
        <v>46107.0</v>
      </c>
      <c r="H459" s="42" t="s">
        <v>114</v>
      </c>
      <c r="J459" s="94"/>
      <c r="N459" s="2"/>
    </row>
    <row r="460" ht="15.75" customHeight="1">
      <c r="A460" s="87">
        <v>46106.0</v>
      </c>
      <c r="B460" s="42" t="s">
        <v>944</v>
      </c>
      <c r="C460" s="42" t="s">
        <v>694</v>
      </c>
      <c r="D460" s="42" t="s">
        <v>153</v>
      </c>
      <c r="E460" s="43">
        <v>1197.0</v>
      </c>
      <c r="F460" s="26" t="s">
        <v>857</v>
      </c>
      <c r="G460" s="27">
        <v>46108.0</v>
      </c>
      <c r="H460" s="42" t="s">
        <v>114</v>
      </c>
      <c r="I460" s="2" t="s">
        <v>858</v>
      </c>
      <c r="J460" s="94"/>
      <c r="N460" s="102"/>
    </row>
    <row r="461" ht="15.75" customHeight="1">
      <c r="A461" s="86">
        <v>46106.0</v>
      </c>
      <c r="B461" s="45" t="s">
        <v>945</v>
      </c>
      <c r="C461" s="45" t="s">
        <v>694</v>
      </c>
      <c r="D461" s="45" t="s">
        <v>710</v>
      </c>
      <c r="E461" s="46">
        <v>2899.0</v>
      </c>
      <c r="F461" s="54">
        <v>2899.0</v>
      </c>
      <c r="G461" s="31">
        <v>46106.0</v>
      </c>
      <c r="H461" s="45" t="s">
        <v>114</v>
      </c>
      <c r="I461" s="2" t="s">
        <v>858</v>
      </c>
      <c r="J461" s="96">
        <v>2899.0</v>
      </c>
      <c r="N461" s="102"/>
    </row>
    <row r="462" ht="15.75" customHeight="1">
      <c r="A462" s="86">
        <v>46107.0</v>
      </c>
      <c r="B462" s="45" t="s">
        <v>946</v>
      </c>
      <c r="C462" s="45" t="s">
        <v>860</v>
      </c>
      <c r="D462" s="45" t="s">
        <v>118</v>
      </c>
      <c r="E462" s="46">
        <v>899.0</v>
      </c>
      <c r="F462" s="54">
        <v>899.0</v>
      </c>
      <c r="G462" s="31">
        <v>46107.0</v>
      </c>
      <c r="H462" s="45" t="s">
        <v>114</v>
      </c>
      <c r="I462" s="2" t="s">
        <v>858</v>
      </c>
      <c r="J462" s="96">
        <v>899.0</v>
      </c>
      <c r="L462" s="108"/>
    </row>
    <row r="463" ht="15.75" customHeight="1">
      <c r="A463" s="86">
        <v>46109.0</v>
      </c>
      <c r="B463" s="45" t="s">
        <v>947</v>
      </c>
      <c r="C463" s="45" t="s">
        <v>948</v>
      </c>
      <c r="D463" s="45" t="s">
        <v>185</v>
      </c>
      <c r="E463" s="46">
        <v>599.0</v>
      </c>
      <c r="F463" s="47">
        <v>599.0</v>
      </c>
      <c r="G463" s="31">
        <v>46109.0</v>
      </c>
      <c r="H463" s="45" t="s">
        <v>800</v>
      </c>
      <c r="I463" s="2" t="s">
        <v>849</v>
      </c>
      <c r="J463" s="94"/>
      <c r="L463" s="109"/>
    </row>
    <row r="464" ht="15.75" customHeight="1">
      <c r="A464" s="87">
        <v>46109.0</v>
      </c>
      <c r="B464" s="42" t="s">
        <v>949</v>
      </c>
      <c r="C464" s="42" t="s">
        <v>950</v>
      </c>
      <c r="D464" s="42" t="s">
        <v>128</v>
      </c>
      <c r="E464" s="43">
        <v>852.0</v>
      </c>
      <c r="F464" s="26" t="s">
        <v>857</v>
      </c>
      <c r="G464" s="27">
        <v>46110.0</v>
      </c>
      <c r="H464" s="42" t="s">
        <v>324</v>
      </c>
      <c r="I464" s="2" t="s">
        <v>858</v>
      </c>
      <c r="J464" s="94"/>
      <c r="L464" s="110"/>
    </row>
    <row r="465" ht="15.75" customHeight="1">
      <c r="A465" s="87">
        <v>46109.0</v>
      </c>
      <c r="B465" s="42" t="s">
        <v>951</v>
      </c>
      <c r="C465" s="42" t="s">
        <v>952</v>
      </c>
      <c r="D465" s="42" t="s">
        <v>122</v>
      </c>
      <c r="E465" s="43">
        <v>798.0</v>
      </c>
      <c r="F465" s="26" t="s">
        <v>119</v>
      </c>
      <c r="G465" s="27">
        <v>46110.0</v>
      </c>
      <c r="H465" s="42" t="s">
        <v>114</v>
      </c>
      <c r="I465" s="2" t="s">
        <v>858</v>
      </c>
      <c r="J465" s="94"/>
      <c r="L465" s="110"/>
    </row>
    <row r="466" ht="15.75" customHeight="1">
      <c r="A466" s="87">
        <v>46111.0</v>
      </c>
      <c r="B466" s="42" t="s">
        <v>953</v>
      </c>
      <c r="C466" s="42" t="s">
        <v>954</v>
      </c>
      <c r="D466" s="42" t="s">
        <v>185</v>
      </c>
      <c r="E466" s="43">
        <v>1900.0</v>
      </c>
      <c r="F466" s="26" t="s">
        <v>857</v>
      </c>
      <c r="G466" s="27">
        <v>46111.0</v>
      </c>
      <c r="H466" s="42" t="s">
        <v>114</v>
      </c>
      <c r="I466" s="2" t="s">
        <v>955</v>
      </c>
      <c r="J466" s="94"/>
      <c r="L466" s="111"/>
    </row>
    <row r="467" ht="15.75" customHeight="1">
      <c r="A467" s="87">
        <v>46111.0</v>
      </c>
      <c r="B467" s="42" t="s">
        <v>956</v>
      </c>
      <c r="C467" s="42" t="s">
        <v>694</v>
      </c>
      <c r="D467" s="42" t="s">
        <v>113</v>
      </c>
      <c r="E467" s="43">
        <v>1197.0</v>
      </c>
      <c r="F467" s="26" t="s">
        <v>857</v>
      </c>
      <c r="G467" s="27">
        <v>46112.0</v>
      </c>
      <c r="H467" s="42" t="s">
        <v>957</v>
      </c>
      <c r="I467" s="2" t="s">
        <v>858</v>
      </c>
      <c r="J467" s="94"/>
    </row>
    <row r="468" ht="15.75" customHeight="1">
      <c r="A468" s="87">
        <v>46112.0</v>
      </c>
      <c r="B468" s="42" t="s">
        <v>958</v>
      </c>
      <c r="C468" s="42" t="s">
        <v>886</v>
      </c>
      <c r="D468" s="42" t="s">
        <v>113</v>
      </c>
      <c r="E468" s="43">
        <v>718.0</v>
      </c>
      <c r="F468" s="26" t="s">
        <v>857</v>
      </c>
      <c r="G468" s="27">
        <v>46112.0</v>
      </c>
      <c r="H468" s="42" t="s">
        <v>114</v>
      </c>
      <c r="I468" s="2" t="s">
        <v>858</v>
      </c>
      <c r="J468" s="94"/>
    </row>
    <row r="469" ht="15.75" customHeight="1">
      <c r="A469" s="86">
        <v>46112.0</v>
      </c>
      <c r="B469" s="45" t="s">
        <v>959</v>
      </c>
      <c r="C469" s="45" t="s">
        <v>768</v>
      </c>
      <c r="D469" s="45" t="s">
        <v>113</v>
      </c>
      <c r="E469" s="46">
        <v>1197.0</v>
      </c>
      <c r="F469" s="54">
        <v>1197.0</v>
      </c>
      <c r="G469" s="31">
        <v>46112.0</v>
      </c>
      <c r="H469" s="45" t="s">
        <v>114</v>
      </c>
      <c r="J469" s="94"/>
    </row>
    <row r="470" ht="15.75" customHeight="1">
      <c r="A470" s="86">
        <v>46112.0</v>
      </c>
      <c r="B470" s="45" t="s">
        <v>960</v>
      </c>
      <c r="C470" s="45" t="s">
        <v>694</v>
      </c>
      <c r="D470" s="45" t="s">
        <v>153</v>
      </c>
      <c r="E470" s="57">
        <v>1540.0</v>
      </c>
      <c r="F470" s="54">
        <v>1540.0</v>
      </c>
      <c r="G470" s="31">
        <v>46113.0</v>
      </c>
      <c r="H470" s="45" t="s">
        <v>324</v>
      </c>
      <c r="I470" s="2" t="s">
        <v>920</v>
      </c>
      <c r="J470" s="94"/>
    </row>
    <row r="471" ht="15.75" customHeight="1">
      <c r="A471" s="86">
        <v>46113.0</v>
      </c>
      <c r="B471" s="45" t="s">
        <v>961</v>
      </c>
      <c r="C471" s="45" t="s">
        <v>962</v>
      </c>
      <c r="D471" s="45" t="s">
        <v>153</v>
      </c>
      <c r="E471" s="46">
        <v>758.0</v>
      </c>
      <c r="F471" s="47">
        <v>758.0</v>
      </c>
      <c r="G471" s="31">
        <v>46113.0</v>
      </c>
      <c r="H471" s="45" t="s">
        <v>324</v>
      </c>
      <c r="J471" s="94"/>
    </row>
    <row r="472" ht="15.75" customHeight="1">
      <c r="A472" s="86">
        <v>46114.0</v>
      </c>
      <c r="B472" s="45" t="s">
        <v>963</v>
      </c>
      <c r="C472" s="45" t="s">
        <v>768</v>
      </c>
      <c r="D472" s="45" t="s">
        <v>185</v>
      </c>
      <c r="E472" s="46">
        <v>1579.0</v>
      </c>
      <c r="F472" s="47">
        <v>1579.0</v>
      </c>
      <c r="G472" s="31">
        <v>46114.0</v>
      </c>
      <c r="H472" s="45" t="s">
        <v>324</v>
      </c>
      <c r="I472" s="2" t="s">
        <v>920</v>
      </c>
      <c r="J472" s="94"/>
    </row>
    <row r="473" ht="15.75" customHeight="1">
      <c r="A473" s="86">
        <v>46114.0</v>
      </c>
      <c r="B473" s="45" t="s">
        <v>889</v>
      </c>
      <c r="C473" s="45" t="s">
        <v>962</v>
      </c>
      <c r="D473" s="45" t="s">
        <v>118</v>
      </c>
      <c r="E473" s="46">
        <v>1077.0</v>
      </c>
      <c r="F473" s="47">
        <v>1077.0</v>
      </c>
      <c r="G473" s="31">
        <v>46114.0</v>
      </c>
      <c r="H473" s="45" t="s">
        <v>842</v>
      </c>
      <c r="I473" s="2" t="s">
        <v>924</v>
      </c>
      <c r="J473" s="112">
        <f>SUM(J412:J472)</f>
        <v>28911.82</v>
      </c>
    </row>
    <row r="474" ht="15.75" customHeight="1">
      <c r="A474" s="86">
        <v>46118.0</v>
      </c>
      <c r="B474" s="45" t="s">
        <v>964</v>
      </c>
      <c r="C474" s="45" t="s">
        <v>965</v>
      </c>
      <c r="D474" s="45" t="s">
        <v>113</v>
      </c>
      <c r="E474" s="46">
        <v>799.0</v>
      </c>
      <c r="F474" s="54">
        <v>799.0</v>
      </c>
      <c r="G474" s="31">
        <v>46119.0</v>
      </c>
      <c r="H474" s="48"/>
      <c r="I474" s="2" t="s">
        <v>966</v>
      </c>
      <c r="J474" s="113" t="s">
        <v>967</v>
      </c>
    </row>
    <row r="475" ht="15.75" customHeight="1">
      <c r="A475" s="87">
        <v>46118.0</v>
      </c>
      <c r="B475" s="42" t="s">
        <v>968</v>
      </c>
      <c r="C475" s="42" t="s">
        <v>969</v>
      </c>
      <c r="D475" s="42" t="s">
        <v>704</v>
      </c>
      <c r="E475" s="43">
        <v>1600.0</v>
      </c>
      <c r="F475" s="26" t="s">
        <v>119</v>
      </c>
      <c r="G475" s="18"/>
      <c r="H475" s="42" t="s">
        <v>114</v>
      </c>
      <c r="I475" s="2" t="s">
        <v>920</v>
      </c>
      <c r="J475" s="114">
        <v>27441.82</v>
      </c>
    </row>
    <row r="476" ht="15.75" customHeight="1">
      <c r="A476" s="115">
        <v>46120.0</v>
      </c>
      <c r="B476" s="45" t="s">
        <v>970</v>
      </c>
      <c r="C476" s="45" t="s">
        <v>886</v>
      </c>
      <c r="D476" s="45" t="s">
        <v>167</v>
      </c>
      <c r="E476" s="46">
        <v>1150.0</v>
      </c>
      <c r="F476" s="54">
        <v>1150.0</v>
      </c>
      <c r="G476" s="31">
        <v>46120.0</v>
      </c>
      <c r="H476" s="45" t="s">
        <v>114</v>
      </c>
      <c r="I476" s="2" t="s">
        <v>971</v>
      </c>
    </row>
    <row r="477" ht="15.75" customHeight="1">
      <c r="A477" s="86">
        <v>46120.0</v>
      </c>
      <c r="B477" s="45" t="s">
        <v>972</v>
      </c>
      <c r="C477" s="45" t="s">
        <v>886</v>
      </c>
      <c r="D477" s="45" t="s">
        <v>113</v>
      </c>
      <c r="E477" s="46">
        <v>799.0</v>
      </c>
      <c r="F477" s="54">
        <v>799.0</v>
      </c>
      <c r="G477" s="31">
        <v>46120.0</v>
      </c>
      <c r="H477" s="45" t="s">
        <v>114</v>
      </c>
      <c r="I477" s="2" t="s">
        <v>966</v>
      </c>
    </row>
    <row r="478" ht="15.75" customHeight="1">
      <c r="A478" s="86">
        <v>46121.0</v>
      </c>
      <c r="B478" s="45" t="s">
        <v>973</v>
      </c>
      <c r="C478" s="45" t="s">
        <v>969</v>
      </c>
      <c r="D478" s="45" t="s">
        <v>113</v>
      </c>
      <c r="E478" s="46">
        <v>799.0</v>
      </c>
      <c r="F478" s="54">
        <v>799.0</v>
      </c>
      <c r="G478" s="31">
        <v>46122.0</v>
      </c>
      <c r="H478" s="45" t="s">
        <v>114</v>
      </c>
      <c r="I478" s="2" t="s">
        <v>966</v>
      </c>
      <c r="L478" s="116" t="s">
        <v>974</v>
      </c>
    </row>
    <row r="479" ht="15.75" customHeight="1">
      <c r="A479" s="86">
        <v>46121.0</v>
      </c>
      <c r="B479" s="45" t="s">
        <v>975</v>
      </c>
      <c r="C479" s="45" t="s">
        <v>965</v>
      </c>
      <c r="D479" s="45" t="s">
        <v>122</v>
      </c>
      <c r="E479" s="46">
        <v>799.0</v>
      </c>
      <c r="F479" s="47">
        <v>799.0</v>
      </c>
      <c r="G479" s="31">
        <v>46122.0</v>
      </c>
      <c r="H479" s="45" t="s">
        <v>324</v>
      </c>
      <c r="I479" s="2" t="s">
        <v>971</v>
      </c>
      <c r="L479" s="117">
        <v>799.0</v>
      </c>
    </row>
    <row r="480" ht="15.75" customHeight="1">
      <c r="A480" s="86">
        <v>46121.0</v>
      </c>
      <c r="B480" s="45" t="s">
        <v>975</v>
      </c>
      <c r="C480" s="45" t="s">
        <v>965</v>
      </c>
      <c r="D480" s="45" t="s">
        <v>167</v>
      </c>
      <c r="E480" s="46">
        <v>1099.0</v>
      </c>
      <c r="F480" s="47">
        <v>1099.0</v>
      </c>
      <c r="G480" s="31">
        <v>46122.0</v>
      </c>
      <c r="H480" s="45" t="s">
        <v>324</v>
      </c>
      <c r="I480" s="2" t="s">
        <v>971</v>
      </c>
      <c r="J480" s="106"/>
      <c r="L480" s="117">
        <v>799.0</v>
      </c>
    </row>
    <row r="481" ht="15.75" customHeight="1">
      <c r="A481" s="87">
        <v>46122.0</v>
      </c>
      <c r="B481" s="42" t="s">
        <v>976</v>
      </c>
      <c r="C481" s="42" t="s">
        <v>977</v>
      </c>
      <c r="D481" s="42" t="s">
        <v>128</v>
      </c>
      <c r="E481" s="43">
        <v>1873.0</v>
      </c>
      <c r="F481" s="26" t="s">
        <v>857</v>
      </c>
      <c r="G481" s="27">
        <v>46123.0</v>
      </c>
      <c r="H481" s="42" t="s">
        <v>114</v>
      </c>
      <c r="J481" s="118"/>
      <c r="L481" s="117">
        <v>799.0</v>
      </c>
    </row>
    <row r="482" ht="15.75" customHeight="1">
      <c r="A482" s="87">
        <v>46124.0</v>
      </c>
      <c r="B482" s="42" t="s">
        <v>978</v>
      </c>
      <c r="C482" s="42" t="s">
        <v>965</v>
      </c>
      <c r="D482" s="42" t="s">
        <v>153</v>
      </c>
      <c r="E482" s="43">
        <v>799.0</v>
      </c>
      <c r="F482" s="26" t="s">
        <v>857</v>
      </c>
      <c r="G482" s="27">
        <v>46125.0</v>
      </c>
      <c r="H482" s="42" t="s">
        <v>324</v>
      </c>
      <c r="I482" s="2" t="s">
        <v>966</v>
      </c>
      <c r="J482" s="119"/>
      <c r="L482" s="117">
        <v>799.0</v>
      </c>
    </row>
    <row r="483" ht="15.75" customHeight="1">
      <c r="A483" s="86">
        <v>46125.0</v>
      </c>
      <c r="B483" s="45" t="s">
        <v>979</v>
      </c>
      <c r="C483" s="45" t="s">
        <v>965</v>
      </c>
      <c r="D483" s="45" t="s">
        <v>175</v>
      </c>
      <c r="E483" s="46">
        <v>799.0</v>
      </c>
      <c r="F483" s="47">
        <v>799.0</v>
      </c>
      <c r="G483" s="31">
        <v>46126.0</v>
      </c>
      <c r="H483" s="45" t="s">
        <v>437</v>
      </c>
      <c r="I483" s="2" t="s">
        <v>966</v>
      </c>
      <c r="J483" s="120"/>
      <c r="L483" s="117">
        <v>799.0</v>
      </c>
    </row>
    <row r="484" ht="15.75" customHeight="1">
      <c r="A484" s="87">
        <v>46128.0</v>
      </c>
      <c r="B484" s="42" t="s">
        <v>980</v>
      </c>
      <c r="C484" s="42" t="s">
        <v>965</v>
      </c>
      <c r="D484" s="42" t="s">
        <v>153</v>
      </c>
      <c r="E484" s="43">
        <v>799.0</v>
      </c>
      <c r="F484" s="26" t="s">
        <v>119</v>
      </c>
      <c r="G484" s="27">
        <v>46128.0</v>
      </c>
      <c r="H484" s="42" t="s">
        <v>981</v>
      </c>
      <c r="I484" s="2" t="s">
        <v>966</v>
      </c>
      <c r="L484" s="117">
        <v>799.0</v>
      </c>
    </row>
    <row r="485" ht="15.75" customHeight="1">
      <c r="A485" s="86">
        <v>46129.0</v>
      </c>
      <c r="B485" s="45" t="s">
        <v>982</v>
      </c>
      <c r="C485" s="45" t="s">
        <v>965</v>
      </c>
      <c r="D485" s="45" t="s">
        <v>128</v>
      </c>
      <c r="E485" s="46">
        <v>898.0</v>
      </c>
      <c r="F485" s="54">
        <v>898.0</v>
      </c>
      <c r="G485" s="31">
        <v>46129.0</v>
      </c>
      <c r="H485" s="45" t="s">
        <v>114</v>
      </c>
      <c r="I485" s="2" t="s">
        <v>966</v>
      </c>
      <c r="L485" s="117">
        <v>799.0</v>
      </c>
    </row>
    <row r="486" ht="15.75" customHeight="1">
      <c r="A486" s="86">
        <v>46132.0</v>
      </c>
      <c r="B486" s="45" t="s">
        <v>983</v>
      </c>
      <c r="C486" s="45" t="s">
        <v>969</v>
      </c>
      <c r="D486" s="45" t="s">
        <v>153</v>
      </c>
      <c r="E486" s="46">
        <v>799.0</v>
      </c>
      <c r="F486" s="54">
        <v>799.0</v>
      </c>
      <c r="G486" s="31">
        <v>46132.0</v>
      </c>
      <c r="H486" s="45" t="s">
        <v>114</v>
      </c>
      <c r="I486" s="2" t="s">
        <v>966</v>
      </c>
      <c r="L486" s="117">
        <v>799.0</v>
      </c>
    </row>
    <row r="487" ht="15.75" customHeight="1">
      <c r="A487" s="86">
        <v>46134.0</v>
      </c>
      <c r="B487" s="45" t="s">
        <v>984</v>
      </c>
      <c r="C487" s="45" t="s">
        <v>969</v>
      </c>
      <c r="D487" s="45" t="s">
        <v>122</v>
      </c>
      <c r="E487" s="46">
        <v>799.0</v>
      </c>
      <c r="F487" s="54">
        <v>799.0</v>
      </c>
      <c r="G487" s="31">
        <v>46134.0</v>
      </c>
      <c r="H487" s="45" t="s">
        <v>114</v>
      </c>
      <c r="I487" s="2" t="s">
        <v>966</v>
      </c>
      <c r="L487" s="96">
        <v>1199.0</v>
      </c>
    </row>
    <row r="488" ht="15.75" customHeight="1">
      <c r="A488" s="86">
        <v>46134.0</v>
      </c>
      <c r="B488" s="45" t="s">
        <v>985</v>
      </c>
      <c r="C488" s="45" t="s">
        <v>965</v>
      </c>
      <c r="D488" s="61" t="s">
        <v>704</v>
      </c>
      <c r="E488" s="57">
        <v>1997.0</v>
      </c>
      <c r="F488" s="54">
        <v>1997.0</v>
      </c>
      <c r="G488" s="31">
        <v>46135.0</v>
      </c>
      <c r="H488" s="61" t="s">
        <v>842</v>
      </c>
      <c r="I488" s="2" t="s">
        <v>966</v>
      </c>
      <c r="L488" s="117">
        <v>898.0</v>
      </c>
    </row>
    <row r="489" ht="15.75" customHeight="1">
      <c r="A489" s="86">
        <v>46137.0</v>
      </c>
      <c r="B489" s="45" t="s">
        <v>986</v>
      </c>
      <c r="C489" s="45" t="s">
        <v>987</v>
      </c>
      <c r="D489" s="45" t="s">
        <v>118</v>
      </c>
      <c r="E489" s="46">
        <v>799.0</v>
      </c>
      <c r="F489" s="54">
        <v>799.0</v>
      </c>
      <c r="G489" s="31">
        <v>46138.0</v>
      </c>
      <c r="H489" s="45" t="s">
        <v>114</v>
      </c>
      <c r="I489" s="2" t="s">
        <v>966</v>
      </c>
      <c r="L489" s="94">
        <f>SUM(L479:L488)</f>
        <v>8489</v>
      </c>
    </row>
    <row r="490" ht="15.75" customHeight="1">
      <c r="A490" s="87">
        <v>46137.0</v>
      </c>
      <c r="B490" s="42" t="s">
        <v>988</v>
      </c>
      <c r="C490" s="42" t="s">
        <v>987</v>
      </c>
      <c r="D490" s="42" t="s">
        <v>185</v>
      </c>
      <c r="E490" s="43">
        <v>1199.0</v>
      </c>
      <c r="F490" s="26" t="s">
        <v>119</v>
      </c>
      <c r="G490" s="27">
        <v>46138.0</v>
      </c>
      <c r="H490" s="42" t="s">
        <v>989</v>
      </c>
      <c r="I490" s="2" t="s">
        <v>966</v>
      </c>
      <c r="L490" s="42">
        <v>805.0</v>
      </c>
    </row>
    <row r="491" ht="15.75" customHeight="1">
      <c r="A491" s="10"/>
      <c r="E491" s="3"/>
      <c r="F491" s="4"/>
      <c r="G491" s="5"/>
      <c r="L491" s="121">
        <v>7684.0</v>
      </c>
    </row>
    <row r="492" ht="15.75" customHeight="1">
      <c r="A492" s="10"/>
      <c r="E492" s="3"/>
      <c r="F492" s="4"/>
      <c r="G492" s="5"/>
    </row>
    <row r="493" ht="15.75" customHeight="1">
      <c r="A493" s="10"/>
      <c r="E493" s="3"/>
      <c r="F493" s="4"/>
      <c r="G493" s="5"/>
    </row>
    <row r="494" ht="15.75" customHeight="1">
      <c r="A494" s="10"/>
      <c r="E494" s="3"/>
      <c r="F494" s="4"/>
      <c r="G494" s="5"/>
    </row>
    <row r="495" ht="15.75" customHeight="1">
      <c r="A495" s="10"/>
      <c r="E495" s="3"/>
      <c r="F495" s="4"/>
      <c r="G495" s="5"/>
    </row>
    <row r="496" ht="15.75" customHeight="1">
      <c r="A496" s="10"/>
      <c r="E496" s="3"/>
      <c r="F496" s="4"/>
      <c r="G496" s="5"/>
    </row>
    <row r="497" ht="15.75" customHeight="1">
      <c r="A497" s="10"/>
      <c r="E497" s="3"/>
      <c r="F497" s="4"/>
      <c r="G497" s="5"/>
    </row>
    <row r="498" ht="15.75" customHeight="1">
      <c r="A498" s="10"/>
      <c r="E498" s="3"/>
      <c r="F498" s="4"/>
      <c r="G498" s="5"/>
    </row>
    <row r="499" ht="15.75" customHeight="1">
      <c r="A499" s="10"/>
      <c r="E499" s="3"/>
      <c r="F499" s="4"/>
      <c r="G499" s="5"/>
    </row>
    <row r="500" ht="15.75" customHeight="1">
      <c r="A500" s="10"/>
      <c r="E500" s="3"/>
      <c r="F500" s="4"/>
      <c r="G500" s="5"/>
    </row>
    <row r="501" ht="15.75" customHeight="1">
      <c r="A501" s="10"/>
      <c r="E501" s="3"/>
      <c r="F501" s="4"/>
      <c r="G501" s="5"/>
    </row>
    <row r="502" ht="15.75" customHeight="1">
      <c r="A502" s="10"/>
      <c r="E502" s="3"/>
      <c r="F502" s="4"/>
      <c r="G502" s="5"/>
    </row>
    <row r="503" ht="15.75" customHeight="1">
      <c r="A503" s="10"/>
      <c r="E503" s="3"/>
      <c r="F503" s="4"/>
      <c r="G503" s="5"/>
    </row>
    <row r="504" ht="15.75" customHeight="1">
      <c r="A504" s="10"/>
      <c r="E504" s="3"/>
      <c r="F504" s="4"/>
      <c r="G504" s="5"/>
    </row>
    <row r="505" ht="15.75" customHeight="1">
      <c r="A505" s="10"/>
      <c r="E505" s="3"/>
      <c r="F505" s="4"/>
      <c r="G505" s="5"/>
    </row>
    <row r="506" ht="15.75" customHeight="1">
      <c r="A506" s="10"/>
      <c r="E506" s="3"/>
      <c r="F506" s="4"/>
      <c r="G506" s="5"/>
    </row>
    <row r="507" ht="15.75" customHeight="1">
      <c r="A507" s="10"/>
      <c r="E507" s="3"/>
      <c r="F507" s="4"/>
      <c r="G507" s="5"/>
    </row>
    <row r="508" ht="15.75" customHeight="1">
      <c r="A508" s="10"/>
      <c r="E508" s="3"/>
      <c r="F508" s="4"/>
      <c r="G508" s="5"/>
    </row>
    <row r="509" ht="15.75" customHeight="1">
      <c r="A509" s="10"/>
      <c r="E509" s="3"/>
      <c r="F509" s="4"/>
      <c r="G509" s="5"/>
    </row>
    <row r="510" ht="15.75" customHeight="1">
      <c r="A510" s="10"/>
      <c r="E510" s="3"/>
      <c r="F510" s="4"/>
      <c r="G510" s="5"/>
    </row>
    <row r="511" ht="15.75" customHeight="1">
      <c r="A511" s="10"/>
      <c r="E511" s="3"/>
      <c r="F511" s="4"/>
      <c r="G511" s="5"/>
    </row>
    <row r="512" ht="15.75" customHeight="1">
      <c r="A512" s="10"/>
      <c r="E512" s="3"/>
      <c r="F512" s="4"/>
      <c r="G512" s="5"/>
    </row>
    <row r="513" ht="15.75" customHeight="1">
      <c r="A513" s="10"/>
      <c r="E513" s="3"/>
      <c r="F513" s="4"/>
      <c r="G513" s="5"/>
    </row>
    <row r="514" ht="15.75" customHeight="1">
      <c r="A514" s="10"/>
      <c r="E514" s="3"/>
      <c r="F514" s="4"/>
      <c r="G514" s="5"/>
    </row>
    <row r="515" ht="15.75" customHeight="1">
      <c r="A515" s="10"/>
      <c r="E515" s="3"/>
      <c r="F515" s="4"/>
      <c r="G515" s="5"/>
    </row>
    <row r="516" ht="15.75" customHeight="1">
      <c r="A516" s="10"/>
      <c r="E516" s="3"/>
      <c r="F516" s="4"/>
      <c r="G516" s="5"/>
    </row>
    <row r="517" ht="15.75" customHeight="1">
      <c r="A517" s="10"/>
      <c r="E517" s="3"/>
      <c r="F517" s="4"/>
      <c r="G517" s="5"/>
    </row>
    <row r="518" ht="15.75" customHeight="1">
      <c r="A518" s="10"/>
      <c r="E518" s="3"/>
      <c r="F518" s="4"/>
      <c r="G518" s="5"/>
    </row>
    <row r="519" ht="15.75" customHeight="1">
      <c r="A519" s="10"/>
      <c r="E519" s="3"/>
      <c r="F519" s="4"/>
      <c r="G519" s="5"/>
    </row>
    <row r="520" ht="15.75" customHeight="1">
      <c r="A520" s="10"/>
      <c r="E520" s="3"/>
      <c r="F520" s="4"/>
      <c r="G520" s="5"/>
    </row>
    <row r="521" ht="15.75" customHeight="1">
      <c r="A521" s="10"/>
      <c r="E521" s="3"/>
      <c r="F521" s="4"/>
      <c r="G521" s="5"/>
    </row>
    <row r="522" ht="15.75" customHeight="1">
      <c r="A522" s="10"/>
      <c r="E522" s="3"/>
      <c r="F522" s="4"/>
      <c r="G522" s="5"/>
    </row>
    <row r="523" ht="15.75" customHeight="1">
      <c r="A523" s="10"/>
      <c r="E523" s="3"/>
      <c r="F523" s="4"/>
      <c r="G523" s="5"/>
    </row>
    <row r="524" ht="15.75" customHeight="1">
      <c r="A524" s="10"/>
      <c r="E524" s="3"/>
      <c r="F524" s="4"/>
      <c r="G524" s="5"/>
    </row>
    <row r="525" ht="15.75" customHeight="1">
      <c r="A525" s="10"/>
      <c r="E525" s="3"/>
      <c r="F525" s="4"/>
      <c r="G525" s="5"/>
    </row>
    <row r="526" ht="15.75" customHeight="1">
      <c r="A526" s="10"/>
      <c r="E526" s="3"/>
      <c r="F526" s="4"/>
      <c r="G526" s="5"/>
    </row>
    <row r="527" ht="15.75" customHeight="1">
      <c r="A527" s="10"/>
      <c r="E527" s="3"/>
      <c r="F527" s="4"/>
      <c r="G527" s="5"/>
    </row>
    <row r="528" ht="15.75" customHeight="1">
      <c r="A528" s="10"/>
      <c r="E528" s="3"/>
      <c r="F528" s="4"/>
      <c r="G528" s="5"/>
    </row>
    <row r="529" ht="15.75" customHeight="1">
      <c r="A529" s="10"/>
      <c r="E529" s="3"/>
      <c r="F529" s="4"/>
      <c r="G529" s="5"/>
    </row>
    <row r="530" ht="15.75" customHeight="1">
      <c r="A530" s="10"/>
      <c r="E530" s="3"/>
      <c r="F530" s="4"/>
      <c r="G530" s="5"/>
    </row>
    <row r="531" ht="15.75" customHeight="1">
      <c r="A531" s="10"/>
      <c r="E531" s="3"/>
      <c r="F531" s="4"/>
      <c r="G531" s="5"/>
    </row>
    <row r="532" ht="15.75" customHeight="1">
      <c r="A532" s="10"/>
      <c r="E532" s="3"/>
      <c r="F532" s="4"/>
      <c r="G532" s="5"/>
    </row>
    <row r="533" ht="15.75" customHeight="1">
      <c r="A533" s="10"/>
      <c r="E533" s="3"/>
      <c r="F533" s="4"/>
      <c r="G533" s="5"/>
    </row>
    <row r="534" ht="15.75" customHeight="1">
      <c r="A534" s="10"/>
      <c r="E534" s="3"/>
      <c r="F534" s="4"/>
      <c r="G534" s="5"/>
    </row>
    <row r="535" ht="15.75" customHeight="1">
      <c r="A535" s="10"/>
      <c r="E535" s="3"/>
      <c r="F535" s="4"/>
      <c r="G535" s="5"/>
    </row>
    <row r="536" ht="15.75" customHeight="1">
      <c r="A536" s="10"/>
      <c r="E536" s="3"/>
      <c r="F536" s="4"/>
      <c r="G536" s="5"/>
    </row>
    <row r="537" ht="15.75" customHeight="1">
      <c r="A537" s="10"/>
      <c r="E537" s="3"/>
      <c r="F537" s="4"/>
      <c r="G537" s="5"/>
    </row>
    <row r="538" ht="15.75" customHeight="1">
      <c r="A538" s="10"/>
      <c r="E538" s="3"/>
      <c r="F538" s="4"/>
      <c r="G538" s="5"/>
    </row>
    <row r="539" ht="15.75" customHeight="1">
      <c r="A539" s="10"/>
      <c r="E539" s="3"/>
      <c r="F539" s="4"/>
      <c r="G539" s="5"/>
    </row>
    <row r="540" ht="15.75" customHeight="1">
      <c r="A540" s="10"/>
      <c r="E540" s="3"/>
      <c r="F540" s="4"/>
      <c r="G540" s="5"/>
    </row>
    <row r="541" ht="15.75" customHeight="1">
      <c r="A541" s="10"/>
      <c r="E541" s="3"/>
      <c r="F541" s="4"/>
      <c r="G541" s="5"/>
    </row>
    <row r="542" ht="15.75" customHeight="1">
      <c r="A542" s="10"/>
      <c r="E542" s="3"/>
      <c r="F542" s="4"/>
      <c r="G542" s="5"/>
    </row>
    <row r="543" ht="15.75" customHeight="1">
      <c r="A543" s="10"/>
      <c r="E543" s="3"/>
      <c r="F543" s="4"/>
      <c r="G543" s="5"/>
    </row>
    <row r="544" ht="15.75" customHeight="1">
      <c r="A544" s="10"/>
      <c r="E544" s="3"/>
      <c r="F544" s="4"/>
      <c r="G544" s="5"/>
    </row>
    <row r="545" ht="15.75" customHeight="1">
      <c r="A545" s="10"/>
      <c r="E545" s="3"/>
      <c r="F545" s="4"/>
      <c r="G545" s="5"/>
    </row>
    <row r="546" ht="15.75" customHeight="1">
      <c r="A546" s="10"/>
      <c r="E546" s="3"/>
      <c r="F546" s="4"/>
      <c r="G546" s="5"/>
    </row>
    <row r="547" ht="15.75" customHeight="1">
      <c r="A547" s="10"/>
      <c r="E547" s="3"/>
      <c r="F547" s="4"/>
      <c r="G547" s="5"/>
    </row>
    <row r="548" ht="15.75" customHeight="1">
      <c r="A548" s="10"/>
      <c r="E548" s="3"/>
      <c r="F548" s="4"/>
      <c r="G548" s="5"/>
    </row>
    <row r="549" ht="15.75" customHeight="1">
      <c r="A549" s="10"/>
      <c r="E549" s="3"/>
      <c r="F549" s="4"/>
      <c r="G549" s="5"/>
    </row>
    <row r="550" ht="15.75" customHeight="1">
      <c r="A550" s="10"/>
      <c r="E550" s="3"/>
      <c r="F550" s="4"/>
      <c r="G550" s="5"/>
    </row>
    <row r="551" ht="15.75" customHeight="1">
      <c r="A551" s="10"/>
      <c r="E551" s="3"/>
      <c r="F551" s="4"/>
      <c r="G551" s="5"/>
    </row>
    <row r="552" ht="15.75" customHeight="1">
      <c r="A552" s="10"/>
      <c r="E552" s="3"/>
      <c r="F552" s="4"/>
      <c r="G552" s="5"/>
    </row>
    <row r="553" ht="15.75" customHeight="1">
      <c r="A553" s="10"/>
      <c r="E553" s="3"/>
      <c r="F553" s="4"/>
      <c r="G553" s="5"/>
    </row>
    <row r="554" ht="15.75" customHeight="1">
      <c r="A554" s="10"/>
      <c r="E554" s="3"/>
      <c r="F554" s="4"/>
      <c r="G554" s="5"/>
    </row>
    <row r="555" ht="15.75" customHeight="1">
      <c r="A555" s="10"/>
      <c r="E555" s="3"/>
      <c r="F555" s="4"/>
      <c r="G555" s="5"/>
    </row>
    <row r="556" ht="15.75" customHeight="1">
      <c r="A556" s="10"/>
      <c r="E556" s="3"/>
      <c r="F556" s="4"/>
      <c r="G556" s="5"/>
    </row>
    <row r="557" ht="15.75" customHeight="1">
      <c r="A557" s="10"/>
      <c r="E557" s="3"/>
      <c r="F557" s="4"/>
      <c r="G557" s="5"/>
    </row>
    <row r="558" ht="15.75" customHeight="1">
      <c r="A558" s="10"/>
      <c r="E558" s="3"/>
      <c r="F558" s="4"/>
      <c r="G558" s="5"/>
    </row>
    <row r="559" ht="15.75" customHeight="1">
      <c r="A559" s="10"/>
      <c r="E559" s="3"/>
      <c r="F559" s="4"/>
      <c r="G559" s="5"/>
    </row>
    <row r="560" ht="15.75" customHeight="1">
      <c r="A560" s="10"/>
      <c r="E560" s="3"/>
      <c r="F560" s="4"/>
      <c r="G560" s="5"/>
    </row>
    <row r="561" ht="15.75" customHeight="1">
      <c r="A561" s="10"/>
      <c r="E561" s="3"/>
      <c r="F561" s="4"/>
      <c r="G561" s="5"/>
    </row>
    <row r="562" ht="15.75" customHeight="1">
      <c r="A562" s="10"/>
      <c r="E562" s="3"/>
      <c r="F562" s="4"/>
      <c r="G562" s="5"/>
    </row>
    <row r="563" ht="15.75" customHeight="1">
      <c r="A563" s="10"/>
      <c r="E563" s="3"/>
      <c r="F563" s="4"/>
      <c r="G563" s="5"/>
    </row>
    <row r="564" ht="15.75" customHeight="1">
      <c r="A564" s="10"/>
      <c r="E564" s="3"/>
      <c r="F564" s="4"/>
      <c r="G564" s="5"/>
    </row>
    <row r="565" ht="15.75" customHeight="1">
      <c r="A565" s="10"/>
      <c r="E565" s="3"/>
      <c r="F565" s="4"/>
      <c r="G565" s="5"/>
    </row>
    <row r="566" ht="15.75" customHeight="1">
      <c r="A566" s="10"/>
      <c r="E566" s="3"/>
      <c r="F566" s="4"/>
      <c r="G566" s="5"/>
    </row>
    <row r="567" ht="15.75" customHeight="1">
      <c r="A567" s="10"/>
      <c r="E567" s="3"/>
      <c r="F567" s="4"/>
      <c r="G567" s="5"/>
    </row>
    <row r="568" ht="15.75" customHeight="1">
      <c r="A568" s="10"/>
      <c r="E568" s="3"/>
      <c r="F568" s="4"/>
      <c r="G568" s="5"/>
    </row>
    <row r="569" ht="15.75" customHeight="1">
      <c r="A569" s="10"/>
      <c r="E569" s="3"/>
      <c r="F569" s="4"/>
      <c r="G569" s="5"/>
    </row>
    <row r="570" ht="15.75" customHeight="1">
      <c r="A570" s="10"/>
      <c r="E570" s="3"/>
      <c r="F570" s="4"/>
      <c r="G570" s="5"/>
    </row>
    <row r="571" ht="15.75" customHeight="1">
      <c r="A571" s="10"/>
      <c r="E571" s="3"/>
      <c r="F571" s="4"/>
      <c r="G571" s="5"/>
    </row>
    <row r="572" ht="15.75" customHeight="1">
      <c r="A572" s="10"/>
      <c r="E572" s="3"/>
      <c r="F572" s="4"/>
      <c r="G572" s="5"/>
    </row>
    <row r="573" ht="15.75" customHeight="1">
      <c r="A573" s="10"/>
      <c r="E573" s="3"/>
      <c r="F573" s="4"/>
      <c r="G573" s="5"/>
    </row>
    <row r="574" ht="15.75" customHeight="1">
      <c r="A574" s="10"/>
      <c r="E574" s="3"/>
      <c r="F574" s="4"/>
      <c r="G574" s="5"/>
    </row>
    <row r="575" ht="15.75" customHeight="1">
      <c r="A575" s="10"/>
      <c r="E575" s="3"/>
      <c r="F575" s="4"/>
      <c r="G575" s="5"/>
    </row>
    <row r="576" ht="15.75" customHeight="1">
      <c r="A576" s="10"/>
      <c r="E576" s="3"/>
      <c r="F576" s="4"/>
      <c r="G576" s="5"/>
    </row>
    <row r="577" ht="15.75" customHeight="1">
      <c r="A577" s="10"/>
      <c r="E577" s="3"/>
      <c r="F577" s="4"/>
      <c r="G577" s="5"/>
    </row>
    <row r="578" ht="15.75" customHeight="1">
      <c r="A578" s="10"/>
      <c r="E578" s="3"/>
      <c r="F578" s="4"/>
      <c r="G578" s="5"/>
    </row>
    <row r="579" ht="15.75" customHeight="1">
      <c r="A579" s="10"/>
      <c r="E579" s="3"/>
      <c r="F579" s="4"/>
      <c r="G579" s="5"/>
    </row>
    <row r="580" ht="15.75" customHeight="1">
      <c r="A580" s="10"/>
      <c r="E580" s="3"/>
      <c r="F580" s="4"/>
      <c r="G580" s="5"/>
    </row>
    <row r="581" ht="15.75" customHeight="1">
      <c r="A581" s="10"/>
      <c r="E581" s="3"/>
      <c r="F581" s="4"/>
      <c r="G581" s="5"/>
    </row>
    <row r="582" ht="15.75" customHeight="1">
      <c r="A582" s="10"/>
      <c r="E582" s="3"/>
      <c r="F582" s="4"/>
      <c r="G582" s="5"/>
    </row>
    <row r="583" ht="15.75" customHeight="1">
      <c r="A583" s="10"/>
      <c r="E583" s="3"/>
      <c r="F583" s="4"/>
      <c r="G583" s="5"/>
    </row>
    <row r="584" ht="15.75" customHeight="1">
      <c r="A584" s="10"/>
      <c r="E584" s="3"/>
      <c r="F584" s="4"/>
      <c r="G584" s="5"/>
    </row>
    <row r="585" ht="15.75" customHeight="1">
      <c r="A585" s="10"/>
      <c r="E585" s="3"/>
      <c r="F585" s="4"/>
      <c r="G585" s="5"/>
    </row>
    <row r="586" ht="15.75" customHeight="1">
      <c r="A586" s="10"/>
      <c r="E586" s="3"/>
      <c r="F586" s="4"/>
      <c r="G586" s="5"/>
    </row>
    <row r="587" ht="15.75" customHeight="1">
      <c r="A587" s="10"/>
      <c r="E587" s="3"/>
      <c r="F587" s="4"/>
      <c r="G587" s="5"/>
    </row>
    <row r="588" ht="15.75" customHeight="1">
      <c r="A588" s="10"/>
      <c r="E588" s="3"/>
      <c r="F588" s="4"/>
      <c r="G588" s="5"/>
    </row>
    <row r="589" ht="15.75" customHeight="1">
      <c r="A589" s="10"/>
      <c r="E589" s="3"/>
      <c r="F589" s="4"/>
      <c r="G589" s="5"/>
    </row>
    <row r="590" ht="15.75" customHeight="1">
      <c r="A590" s="10"/>
      <c r="E590" s="3"/>
      <c r="F590" s="4"/>
      <c r="G590" s="5"/>
    </row>
    <row r="591" ht="15.75" customHeight="1">
      <c r="A591" s="10"/>
      <c r="E591" s="3"/>
      <c r="F591" s="4"/>
      <c r="G591" s="5"/>
    </row>
    <row r="592" ht="15.75" customHeight="1">
      <c r="A592" s="10"/>
      <c r="E592" s="3"/>
      <c r="F592" s="4"/>
      <c r="G592" s="5"/>
    </row>
    <row r="593" ht="15.75" customHeight="1">
      <c r="A593" s="10"/>
      <c r="E593" s="3"/>
      <c r="F593" s="4"/>
      <c r="G593" s="5"/>
    </row>
    <row r="594" ht="15.75" customHeight="1">
      <c r="A594" s="10"/>
      <c r="E594" s="3"/>
      <c r="F594" s="4"/>
      <c r="G594" s="5"/>
    </row>
    <row r="595" ht="15.75" customHeight="1">
      <c r="A595" s="10"/>
      <c r="E595" s="3"/>
      <c r="F595" s="4"/>
      <c r="G595" s="5"/>
    </row>
    <row r="596" ht="15.75" customHeight="1">
      <c r="A596" s="10"/>
      <c r="E596" s="3"/>
      <c r="F596" s="4"/>
      <c r="G596" s="5"/>
    </row>
    <row r="597" ht="15.75" customHeight="1">
      <c r="A597" s="10"/>
      <c r="E597" s="3"/>
      <c r="F597" s="4"/>
      <c r="G597" s="5"/>
    </row>
    <row r="598" ht="15.75" customHeight="1">
      <c r="A598" s="10"/>
      <c r="E598" s="3"/>
      <c r="F598" s="4"/>
      <c r="G598" s="5"/>
    </row>
    <row r="599" ht="15.75" customHeight="1">
      <c r="A599" s="10"/>
      <c r="E599" s="3"/>
      <c r="F599" s="4"/>
      <c r="G599" s="5"/>
    </row>
    <row r="600" ht="15.75" customHeight="1">
      <c r="A600" s="10"/>
      <c r="E600" s="3"/>
      <c r="F600" s="4"/>
      <c r="G600" s="5"/>
    </row>
    <row r="601" ht="15.75" customHeight="1">
      <c r="A601" s="10"/>
      <c r="E601" s="3"/>
      <c r="F601" s="4"/>
      <c r="G601" s="5"/>
    </row>
    <row r="602" ht="15.75" customHeight="1">
      <c r="A602" s="10"/>
      <c r="E602" s="3"/>
      <c r="F602" s="4"/>
      <c r="G602" s="5"/>
    </row>
    <row r="603" ht="15.75" customHeight="1">
      <c r="A603" s="10"/>
      <c r="E603" s="3"/>
      <c r="F603" s="4"/>
      <c r="G603" s="5"/>
    </row>
    <row r="604" ht="15.75" customHeight="1">
      <c r="A604" s="10"/>
      <c r="E604" s="3"/>
      <c r="F604" s="4"/>
      <c r="G604" s="5"/>
    </row>
    <row r="605" ht="15.75" customHeight="1">
      <c r="A605" s="10"/>
      <c r="E605" s="3"/>
      <c r="F605" s="4"/>
      <c r="G605" s="5"/>
    </row>
    <row r="606" ht="15.75" customHeight="1">
      <c r="A606" s="10"/>
      <c r="E606" s="3"/>
      <c r="F606" s="4"/>
      <c r="G606" s="5"/>
    </row>
    <row r="607" ht="15.75" customHeight="1">
      <c r="A607" s="10"/>
      <c r="E607" s="3"/>
      <c r="F607" s="4"/>
      <c r="G607" s="5"/>
    </row>
    <row r="608" ht="15.75" customHeight="1">
      <c r="A608" s="10"/>
      <c r="E608" s="3"/>
      <c r="F608" s="4"/>
      <c r="G608" s="5"/>
    </row>
    <row r="609" ht="15.75" customHeight="1">
      <c r="A609" s="10"/>
      <c r="E609" s="3"/>
      <c r="F609" s="4"/>
      <c r="G609" s="5"/>
    </row>
    <row r="610" ht="15.75" customHeight="1">
      <c r="A610" s="10"/>
      <c r="E610" s="3"/>
      <c r="F610" s="4"/>
      <c r="G610" s="5"/>
    </row>
    <row r="611" ht="15.75" customHeight="1">
      <c r="A611" s="10"/>
      <c r="E611" s="3"/>
      <c r="F611" s="4"/>
      <c r="G611" s="5"/>
    </row>
    <row r="612" ht="15.75" customHeight="1">
      <c r="A612" s="10"/>
      <c r="E612" s="3"/>
      <c r="F612" s="4"/>
      <c r="G612" s="5"/>
    </row>
    <row r="613" ht="15.75" customHeight="1">
      <c r="A613" s="10"/>
      <c r="E613" s="3"/>
      <c r="F613" s="4"/>
      <c r="G613" s="5"/>
    </row>
    <row r="614" ht="15.75" customHeight="1">
      <c r="A614" s="10"/>
      <c r="E614" s="3"/>
      <c r="F614" s="4"/>
      <c r="G614" s="5"/>
    </row>
    <row r="615" ht="15.75" customHeight="1">
      <c r="A615" s="10"/>
      <c r="E615" s="3"/>
      <c r="F615" s="4"/>
      <c r="G615" s="5"/>
    </row>
    <row r="616" ht="15.75" customHeight="1">
      <c r="A616" s="10"/>
      <c r="E616" s="3"/>
      <c r="F616" s="4"/>
      <c r="G616" s="5"/>
    </row>
    <row r="617" ht="15.75" customHeight="1">
      <c r="A617" s="10"/>
      <c r="E617" s="3"/>
      <c r="F617" s="4"/>
      <c r="G617" s="5"/>
    </row>
    <row r="618" ht="15.75" customHeight="1">
      <c r="A618" s="10"/>
      <c r="E618" s="3"/>
      <c r="F618" s="4"/>
      <c r="G618" s="5"/>
    </row>
    <row r="619" ht="15.75" customHeight="1">
      <c r="A619" s="10"/>
      <c r="E619" s="3"/>
      <c r="F619" s="4"/>
      <c r="G619" s="5"/>
    </row>
    <row r="620" ht="15.75" customHeight="1">
      <c r="A620" s="10"/>
      <c r="E620" s="3"/>
      <c r="F620" s="4"/>
      <c r="G620" s="5"/>
    </row>
    <row r="621" ht="15.75" customHeight="1">
      <c r="A621" s="10"/>
      <c r="E621" s="3"/>
      <c r="F621" s="4"/>
      <c r="G621" s="5"/>
    </row>
    <row r="622" ht="15.75" customHeight="1">
      <c r="A622" s="10"/>
      <c r="E622" s="3"/>
      <c r="F622" s="4"/>
      <c r="G622" s="5"/>
    </row>
    <row r="623" ht="15.75" customHeight="1">
      <c r="A623" s="10"/>
      <c r="E623" s="3"/>
      <c r="F623" s="4"/>
      <c r="G623" s="5"/>
    </row>
    <row r="624" ht="15.75" customHeight="1">
      <c r="A624" s="10"/>
      <c r="E624" s="3"/>
      <c r="F624" s="4"/>
      <c r="G624" s="5"/>
    </row>
    <row r="625" ht="15.75" customHeight="1">
      <c r="A625" s="10"/>
      <c r="E625" s="3"/>
      <c r="F625" s="4"/>
      <c r="G625" s="5"/>
    </row>
    <row r="626" ht="15.75" customHeight="1">
      <c r="A626" s="10"/>
      <c r="E626" s="3"/>
      <c r="F626" s="4"/>
      <c r="G626" s="5"/>
    </row>
    <row r="627" ht="15.75" customHeight="1">
      <c r="A627" s="10"/>
      <c r="E627" s="3"/>
      <c r="F627" s="4"/>
      <c r="G627" s="5"/>
    </row>
    <row r="628" ht="15.75" customHeight="1">
      <c r="A628" s="10"/>
      <c r="E628" s="3"/>
      <c r="F628" s="4"/>
      <c r="G628" s="5"/>
    </row>
    <row r="629" ht="15.75" customHeight="1">
      <c r="A629" s="10"/>
      <c r="E629" s="3"/>
      <c r="F629" s="4"/>
      <c r="G629" s="5"/>
    </row>
    <row r="630" ht="15.75" customHeight="1">
      <c r="A630" s="10"/>
      <c r="E630" s="3"/>
      <c r="F630" s="4"/>
      <c r="G630" s="5"/>
    </row>
    <row r="631" ht="15.75" customHeight="1">
      <c r="A631" s="10"/>
      <c r="E631" s="3"/>
      <c r="F631" s="4"/>
      <c r="G631" s="5"/>
    </row>
    <row r="632" ht="15.75" customHeight="1">
      <c r="A632" s="10"/>
      <c r="E632" s="3"/>
      <c r="F632" s="4"/>
      <c r="G632" s="5"/>
    </row>
    <row r="633" ht="15.75" customHeight="1">
      <c r="A633" s="10"/>
      <c r="E633" s="3"/>
      <c r="F633" s="4"/>
      <c r="G633" s="5"/>
    </row>
    <row r="634" ht="15.75" customHeight="1">
      <c r="A634" s="10"/>
      <c r="E634" s="3"/>
      <c r="F634" s="4"/>
      <c r="G634" s="5"/>
    </row>
    <row r="635" ht="15.75" customHeight="1">
      <c r="A635" s="10"/>
      <c r="E635" s="3"/>
      <c r="F635" s="4"/>
      <c r="G635" s="5"/>
    </row>
    <row r="636" ht="15.75" customHeight="1">
      <c r="A636" s="10"/>
      <c r="E636" s="3"/>
      <c r="F636" s="4"/>
      <c r="G636" s="5"/>
    </row>
    <row r="637" ht="15.75" customHeight="1">
      <c r="A637" s="10"/>
      <c r="E637" s="3"/>
      <c r="F637" s="4"/>
      <c r="G637" s="5"/>
    </row>
    <row r="638" ht="15.75" customHeight="1">
      <c r="A638" s="10"/>
      <c r="E638" s="3"/>
      <c r="F638" s="4"/>
      <c r="G638" s="5"/>
    </row>
    <row r="639" ht="15.75" customHeight="1">
      <c r="A639" s="10"/>
      <c r="E639" s="3"/>
      <c r="F639" s="4"/>
      <c r="G639" s="5"/>
    </row>
    <row r="640" ht="15.75" customHeight="1">
      <c r="A640" s="10"/>
      <c r="E640" s="3"/>
      <c r="F640" s="4"/>
      <c r="G640" s="5"/>
    </row>
    <row r="641" ht="15.75" customHeight="1">
      <c r="A641" s="10"/>
      <c r="E641" s="3"/>
      <c r="F641" s="4"/>
      <c r="G641" s="5"/>
    </row>
    <row r="642" ht="15.75" customHeight="1">
      <c r="A642" s="10"/>
      <c r="E642" s="3"/>
      <c r="F642" s="4"/>
      <c r="G642" s="5"/>
    </row>
    <row r="643" ht="15.75" customHeight="1">
      <c r="A643" s="10"/>
      <c r="E643" s="3"/>
      <c r="F643" s="4"/>
      <c r="G643" s="5"/>
    </row>
    <row r="644" ht="15.75" customHeight="1">
      <c r="A644" s="10"/>
      <c r="E644" s="3"/>
      <c r="F644" s="4"/>
      <c r="G644" s="5"/>
    </row>
    <row r="645" ht="15.75" customHeight="1">
      <c r="A645" s="10"/>
      <c r="E645" s="3"/>
      <c r="F645" s="4"/>
      <c r="G645" s="5"/>
    </row>
    <row r="646" ht="15.75" customHeight="1">
      <c r="A646" s="10"/>
      <c r="E646" s="3"/>
      <c r="F646" s="4"/>
      <c r="G646" s="5"/>
    </row>
    <row r="647" ht="15.75" customHeight="1">
      <c r="A647" s="10"/>
      <c r="E647" s="3"/>
      <c r="F647" s="4"/>
      <c r="G647" s="5"/>
    </row>
    <row r="648" ht="15.75" customHeight="1">
      <c r="A648" s="10"/>
      <c r="E648" s="3"/>
      <c r="F648" s="4"/>
      <c r="G648" s="5"/>
    </row>
    <row r="649" ht="15.75" customHeight="1">
      <c r="A649" s="10"/>
      <c r="E649" s="3"/>
      <c r="F649" s="4"/>
      <c r="G649" s="5"/>
    </row>
    <row r="650" ht="15.75" customHeight="1">
      <c r="A650" s="10"/>
      <c r="E650" s="3"/>
      <c r="F650" s="4"/>
      <c r="G650" s="5"/>
    </row>
    <row r="651" ht="15.75" customHeight="1">
      <c r="A651" s="10"/>
      <c r="E651" s="3"/>
      <c r="F651" s="4"/>
      <c r="G651" s="5"/>
    </row>
    <row r="652" ht="15.75" customHeight="1">
      <c r="A652" s="10"/>
      <c r="E652" s="3"/>
      <c r="F652" s="4"/>
      <c r="G652" s="5"/>
    </row>
    <row r="653" ht="15.75" customHeight="1">
      <c r="A653" s="10"/>
      <c r="E653" s="3"/>
      <c r="F653" s="4"/>
      <c r="G653" s="5"/>
    </row>
    <row r="654" ht="15.75" customHeight="1">
      <c r="A654" s="10"/>
      <c r="E654" s="3"/>
      <c r="F654" s="4"/>
      <c r="G654" s="5"/>
    </row>
    <row r="655" ht="15.75" customHeight="1">
      <c r="A655" s="10"/>
      <c r="E655" s="3"/>
      <c r="F655" s="4"/>
      <c r="G655" s="5"/>
    </row>
    <row r="656" ht="15.75" customHeight="1">
      <c r="A656" s="10"/>
      <c r="E656" s="3"/>
      <c r="F656" s="4"/>
      <c r="G656" s="5"/>
    </row>
    <row r="657" ht="15.75" customHeight="1">
      <c r="A657" s="10"/>
      <c r="E657" s="3"/>
      <c r="F657" s="4"/>
      <c r="G657" s="5"/>
    </row>
    <row r="658" ht="15.75" customHeight="1">
      <c r="A658" s="10"/>
      <c r="E658" s="3"/>
      <c r="F658" s="4"/>
      <c r="G658" s="5"/>
    </row>
    <row r="659" ht="15.75" customHeight="1">
      <c r="A659" s="10"/>
      <c r="E659" s="3"/>
      <c r="F659" s="4"/>
      <c r="G659" s="5"/>
    </row>
    <row r="660" ht="15.75" customHeight="1">
      <c r="A660" s="10"/>
      <c r="E660" s="3"/>
      <c r="F660" s="4"/>
      <c r="G660" s="5"/>
    </row>
    <row r="661" ht="15.75" customHeight="1">
      <c r="A661" s="10"/>
      <c r="E661" s="3"/>
      <c r="F661" s="4"/>
      <c r="G661" s="5"/>
    </row>
    <row r="662" ht="15.75" customHeight="1">
      <c r="A662" s="10"/>
      <c r="E662" s="3"/>
      <c r="F662" s="4"/>
      <c r="G662" s="5"/>
    </row>
    <row r="663" ht="15.75" customHeight="1">
      <c r="A663" s="10"/>
      <c r="E663" s="3"/>
      <c r="F663" s="4"/>
      <c r="G663" s="5"/>
    </row>
    <row r="664" ht="15.75" customHeight="1">
      <c r="A664" s="10"/>
      <c r="E664" s="3"/>
      <c r="F664" s="4"/>
      <c r="G664" s="5"/>
    </row>
    <row r="665" ht="15.75" customHeight="1">
      <c r="A665" s="10"/>
      <c r="E665" s="3"/>
      <c r="F665" s="4"/>
      <c r="G665" s="5"/>
    </row>
    <row r="666" ht="15.75" customHeight="1">
      <c r="A666" s="10"/>
      <c r="E666" s="3"/>
      <c r="F666" s="4"/>
      <c r="G666" s="5"/>
    </row>
    <row r="667" ht="15.75" customHeight="1">
      <c r="A667" s="10"/>
      <c r="E667" s="3"/>
      <c r="F667" s="4"/>
      <c r="G667" s="5"/>
    </row>
    <row r="668" ht="15.75" customHeight="1">
      <c r="A668" s="10"/>
      <c r="E668" s="3"/>
      <c r="F668" s="4"/>
      <c r="G668" s="5"/>
    </row>
    <row r="669" ht="15.75" customHeight="1">
      <c r="A669" s="10"/>
      <c r="E669" s="3"/>
      <c r="F669" s="4"/>
      <c r="G669" s="5"/>
    </row>
    <row r="670" ht="15.75" customHeight="1">
      <c r="A670" s="10"/>
      <c r="E670" s="3"/>
      <c r="F670" s="4"/>
      <c r="G670" s="5"/>
    </row>
    <row r="671" ht="15.75" customHeight="1">
      <c r="A671" s="10"/>
      <c r="E671" s="3"/>
      <c r="F671" s="4"/>
      <c r="G671" s="5"/>
    </row>
    <row r="672" ht="15.75" customHeight="1">
      <c r="A672" s="10"/>
      <c r="E672" s="3"/>
      <c r="F672" s="4"/>
      <c r="G672" s="5"/>
    </row>
    <row r="673" ht="15.75" customHeight="1">
      <c r="A673" s="10"/>
      <c r="E673" s="3"/>
      <c r="F673" s="4"/>
      <c r="G673" s="5"/>
    </row>
    <row r="674" ht="15.75" customHeight="1">
      <c r="A674" s="10"/>
      <c r="E674" s="3"/>
      <c r="F674" s="4"/>
      <c r="G674" s="5"/>
    </row>
    <row r="675" ht="15.75" customHeight="1">
      <c r="A675" s="10"/>
      <c r="E675" s="3"/>
      <c r="F675" s="4"/>
      <c r="G675" s="5"/>
    </row>
    <row r="676" ht="15.75" customHeight="1">
      <c r="A676" s="10"/>
      <c r="E676" s="3"/>
      <c r="F676" s="4"/>
      <c r="G676" s="5"/>
    </row>
    <row r="677" ht="15.75" customHeight="1">
      <c r="A677" s="10"/>
      <c r="E677" s="3"/>
      <c r="F677" s="4"/>
      <c r="G677" s="5"/>
    </row>
    <row r="678" ht="15.75" customHeight="1">
      <c r="A678" s="10"/>
      <c r="E678" s="3"/>
      <c r="F678" s="4"/>
      <c r="G678" s="5"/>
    </row>
    <row r="679" ht="15.75" customHeight="1">
      <c r="A679" s="10"/>
      <c r="E679" s="3"/>
      <c r="F679" s="4"/>
      <c r="G679" s="5"/>
    </row>
    <row r="680" ht="15.75" customHeight="1">
      <c r="A680" s="10"/>
      <c r="E680" s="3"/>
      <c r="F680" s="4"/>
      <c r="G680" s="5"/>
    </row>
    <row r="681" ht="15.75" customHeight="1">
      <c r="A681" s="10"/>
      <c r="E681" s="3"/>
      <c r="F681" s="4"/>
      <c r="G681" s="5"/>
    </row>
    <row r="682" ht="15.75" customHeight="1">
      <c r="A682" s="10"/>
      <c r="E682" s="3"/>
      <c r="F682" s="4"/>
      <c r="G682" s="5"/>
    </row>
    <row r="683" ht="15.75" customHeight="1">
      <c r="A683" s="10"/>
      <c r="E683" s="3"/>
      <c r="F683" s="4"/>
      <c r="G683" s="5"/>
    </row>
    <row r="684" ht="15.75" customHeight="1">
      <c r="A684" s="10"/>
      <c r="E684" s="3"/>
      <c r="F684" s="4"/>
      <c r="G684" s="5"/>
    </row>
    <row r="685" ht="15.75" customHeight="1">
      <c r="A685" s="10"/>
      <c r="E685" s="3"/>
      <c r="F685" s="4"/>
      <c r="G685" s="5"/>
    </row>
    <row r="686" ht="15.75" customHeight="1">
      <c r="A686" s="10"/>
      <c r="E686" s="3"/>
      <c r="F686" s="4"/>
      <c r="G686" s="5"/>
    </row>
    <row r="687" ht="15.75" customHeight="1">
      <c r="A687" s="10"/>
      <c r="E687" s="3"/>
      <c r="F687" s="4"/>
      <c r="G687" s="5"/>
    </row>
    <row r="688" ht="15.75" customHeight="1">
      <c r="A688" s="10"/>
      <c r="E688" s="3"/>
      <c r="F688" s="4"/>
      <c r="G688" s="5"/>
    </row>
    <row r="689" ht="15.75" customHeight="1">
      <c r="A689" s="10"/>
      <c r="E689" s="3"/>
      <c r="F689" s="4"/>
      <c r="G689" s="5"/>
    </row>
    <row r="690" ht="15.75" customHeight="1">
      <c r="A690" s="10"/>
      <c r="E690" s="3"/>
      <c r="F690" s="4"/>
      <c r="G690" s="5"/>
    </row>
    <row r="691" ht="15.75" customHeight="1">
      <c r="A691" s="10"/>
      <c r="E691" s="3"/>
      <c r="F691" s="4"/>
      <c r="G691" s="5"/>
    </row>
    <row r="692" ht="15.75" customHeight="1">
      <c r="A692" s="10"/>
      <c r="E692" s="3"/>
      <c r="F692" s="4"/>
      <c r="G692" s="5"/>
    </row>
    <row r="693" ht="15.75" customHeight="1">
      <c r="A693" s="10"/>
      <c r="E693" s="3"/>
      <c r="F693" s="4"/>
      <c r="G693" s="5"/>
    </row>
    <row r="694" ht="15.75" customHeight="1">
      <c r="A694" s="10"/>
      <c r="E694" s="3"/>
      <c r="F694" s="4"/>
      <c r="G694" s="5"/>
    </row>
    <row r="695" ht="15.75" customHeight="1">
      <c r="A695" s="10"/>
      <c r="E695" s="3"/>
      <c r="F695" s="4"/>
      <c r="G695" s="5"/>
    </row>
    <row r="696" ht="15.75" customHeight="1">
      <c r="A696" s="10"/>
      <c r="E696" s="3"/>
      <c r="F696" s="4"/>
      <c r="G696" s="5"/>
    </row>
    <row r="697" ht="15.75" customHeight="1">
      <c r="A697" s="10"/>
      <c r="E697" s="3"/>
      <c r="F697" s="4"/>
      <c r="G697" s="5"/>
    </row>
    <row r="698" ht="15.75" customHeight="1">
      <c r="A698" s="10"/>
      <c r="E698" s="3"/>
      <c r="F698" s="4"/>
      <c r="G698" s="5"/>
    </row>
    <row r="699" ht="15.75" customHeight="1">
      <c r="A699" s="10"/>
      <c r="E699" s="3"/>
      <c r="F699" s="4"/>
      <c r="G699" s="5"/>
    </row>
    <row r="700" ht="15.75" customHeight="1">
      <c r="A700" s="10"/>
      <c r="E700" s="3"/>
      <c r="F700" s="4"/>
      <c r="G700" s="5"/>
    </row>
    <row r="701" ht="15.75" customHeight="1">
      <c r="A701" s="10"/>
      <c r="E701" s="3"/>
      <c r="F701" s="4"/>
      <c r="G701" s="5"/>
    </row>
    <row r="702" ht="15.75" customHeight="1">
      <c r="A702" s="10"/>
      <c r="E702" s="3"/>
      <c r="F702" s="4"/>
      <c r="G702" s="5"/>
    </row>
    <row r="703" ht="15.75" customHeight="1">
      <c r="A703" s="10"/>
      <c r="E703" s="3"/>
      <c r="F703" s="4"/>
      <c r="G703" s="5"/>
    </row>
    <row r="704" ht="15.75" customHeight="1">
      <c r="A704" s="10"/>
      <c r="E704" s="3"/>
      <c r="F704" s="4"/>
      <c r="G704" s="5"/>
    </row>
    <row r="705" ht="15.75" customHeight="1">
      <c r="A705" s="10"/>
      <c r="E705" s="3"/>
      <c r="F705" s="4"/>
      <c r="G705" s="5"/>
    </row>
    <row r="706" ht="15.75" customHeight="1">
      <c r="A706" s="10"/>
      <c r="E706" s="3"/>
      <c r="F706" s="4"/>
      <c r="G706" s="5"/>
    </row>
    <row r="707" ht="15.75" customHeight="1">
      <c r="A707" s="10"/>
      <c r="E707" s="3"/>
      <c r="F707" s="4"/>
      <c r="G707" s="5"/>
    </row>
    <row r="708" ht="15.75" customHeight="1">
      <c r="A708" s="10"/>
      <c r="E708" s="3"/>
      <c r="F708" s="4"/>
      <c r="G708" s="5"/>
    </row>
    <row r="709" ht="15.75" customHeight="1">
      <c r="A709" s="10"/>
      <c r="E709" s="3"/>
      <c r="F709" s="4"/>
      <c r="G709" s="5"/>
    </row>
    <row r="710" ht="15.75" customHeight="1">
      <c r="A710" s="10"/>
      <c r="E710" s="3"/>
      <c r="F710" s="4"/>
      <c r="G710" s="5"/>
    </row>
    <row r="711" ht="15.75" customHeight="1">
      <c r="A711" s="10"/>
      <c r="E711" s="3"/>
      <c r="F711" s="4"/>
      <c r="G711" s="5"/>
    </row>
    <row r="712" ht="15.75" customHeight="1">
      <c r="A712" s="10"/>
      <c r="E712" s="3"/>
      <c r="F712" s="4"/>
      <c r="G712" s="5"/>
    </row>
    <row r="713" ht="15.75" customHeight="1">
      <c r="A713" s="10"/>
      <c r="E713" s="3"/>
      <c r="F713" s="4"/>
      <c r="G713" s="5"/>
    </row>
    <row r="714" ht="15.75" customHeight="1">
      <c r="A714" s="10"/>
      <c r="E714" s="3"/>
      <c r="F714" s="4"/>
      <c r="G714" s="5"/>
    </row>
    <row r="715" ht="15.75" customHeight="1">
      <c r="A715" s="10"/>
      <c r="E715" s="3"/>
      <c r="F715" s="4"/>
      <c r="G715" s="5"/>
    </row>
    <row r="716" ht="15.75" customHeight="1">
      <c r="A716" s="10"/>
      <c r="E716" s="3"/>
      <c r="F716" s="4"/>
      <c r="G716" s="5"/>
    </row>
    <row r="717" ht="15.75" customHeight="1">
      <c r="A717" s="10"/>
      <c r="E717" s="3"/>
      <c r="F717" s="4"/>
      <c r="G717" s="5"/>
    </row>
    <row r="718" ht="15.75" customHeight="1">
      <c r="A718" s="10"/>
      <c r="E718" s="3"/>
      <c r="F718" s="4"/>
      <c r="G718" s="5"/>
    </row>
    <row r="719" ht="15.75" customHeight="1">
      <c r="A719" s="10"/>
      <c r="E719" s="3"/>
      <c r="F719" s="4"/>
      <c r="G719" s="5"/>
    </row>
    <row r="720" ht="15.75" customHeight="1">
      <c r="A720" s="10"/>
      <c r="E720" s="3"/>
      <c r="F720" s="4"/>
      <c r="G720" s="5"/>
    </row>
    <row r="721" ht="15.75" customHeight="1">
      <c r="A721" s="10"/>
      <c r="E721" s="3"/>
      <c r="F721" s="4"/>
      <c r="G721" s="5"/>
    </row>
    <row r="722" ht="15.75" customHeight="1">
      <c r="A722" s="10"/>
      <c r="E722" s="3"/>
      <c r="F722" s="4"/>
      <c r="G722" s="5"/>
    </row>
    <row r="723" ht="15.75" customHeight="1">
      <c r="A723" s="10"/>
      <c r="E723" s="3"/>
      <c r="F723" s="4"/>
      <c r="G723" s="5"/>
    </row>
    <row r="724" ht="15.75" customHeight="1">
      <c r="A724" s="10"/>
      <c r="E724" s="3"/>
      <c r="F724" s="4"/>
      <c r="G724" s="5"/>
    </row>
    <row r="725" ht="15.75" customHeight="1">
      <c r="A725" s="10"/>
      <c r="E725" s="3"/>
      <c r="F725" s="4"/>
      <c r="G725" s="5"/>
    </row>
    <row r="726" ht="15.75" customHeight="1">
      <c r="A726" s="10"/>
      <c r="E726" s="3"/>
      <c r="F726" s="4"/>
      <c r="G726" s="5"/>
    </row>
    <row r="727" ht="15.75" customHeight="1">
      <c r="A727" s="10"/>
      <c r="E727" s="3"/>
      <c r="F727" s="4"/>
      <c r="G727" s="5"/>
    </row>
    <row r="728" ht="15.75" customHeight="1">
      <c r="A728" s="10"/>
      <c r="E728" s="3"/>
      <c r="F728" s="4"/>
      <c r="G728" s="5"/>
    </row>
    <row r="729" ht="15.75" customHeight="1">
      <c r="A729" s="10"/>
      <c r="E729" s="3"/>
      <c r="F729" s="4"/>
      <c r="G729" s="5"/>
    </row>
    <row r="730" ht="15.75" customHeight="1">
      <c r="A730" s="10"/>
      <c r="E730" s="3"/>
      <c r="F730" s="4"/>
      <c r="G730" s="5"/>
    </row>
    <row r="731" ht="15.75" customHeight="1">
      <c r="A731" s="10"/>
      <c r="E731" s="3"/>
      <c r="F731" s="4"/>
      <c r="G731" s="5"/>
    </row>
    <row r="732" ht="15.75" customHeight="1">
      <c r="A732" s="10"/>
      <c r="E732" s="3"/>
      <c r="F732" s="4"/>
      <c r="G732" s="5"/>
    </row>
    <row r="733" ht="15.75" customHeight="1">
      <c r="A733" s="10"/>
      <c r="E733" s="3"/>
      <c r="F733" s="4"/>
      <c r="G733" s="5"/>
    </row>
    <row r="734" ht="15.75" customHeight="1">
      <c r="A734" s="10"/>
      <c r="E734" s="3"/>
      <c r="F734" s="4"/>
      <c r="G734" s="5"/>
    </row>
    <row r="735" ht="15.75" customHeight="1">
      <c r="A735" s="10"/>
      <c r="E735" s="3"/>
      <c r="F735" s="4"/>
      <c r="G735" s="5"/>
    </row>
    <row r="736" ht="15.75" customHeight="1">
      <c r="A736" s="10"/>
      <c r="E736" s="3"/>
      <c r="F736" s="4"/>
      <c r="G736" s="5"/>
    </row>
    <row r="737" ht="15.75" customHeight="1">
      <c r="A737" s="10"/>
      <c r="E737" s="3"/>
      <c r="F737" s="4"/>
      <c r="G737" s="5"/>
    </row>
    <row r="738" ht="15.75" customHeight="1">
      <c r="A738" s="10"/>
      <c r="E738" s="3"/>
      <c r="F738" s="4"/>
      <c r="G738" s="5"/>
    </row>
    <row r="739" ht="15.75" customHeight="1">
      <c r="A739" s="10"/>
      <c r="E739" s="3"/>
      <c r="F739" s="4"/>
      <c r="G739" s="5"/>
    </row>
    <row r="740" ht="15.75" customHeight="1">
      <c r="A740" s="10"/>
      <c r="E740" s="3"/>
      <c r="F740" s="4"/>
      <c r="G740" s="5"/>
    </row>
    <row r="741" ht="15.75" customHeight="1">
      <c r="A741" s="10"/>
      <c r="E741" s="3"/>
      <c r="F741" s="4"/>
      <c r="G741" s="5"/>
    </row>
    <row r="742" ht="15.75" customHeight="1">
      <c r="A742" s="10"/>
      <c r="E742" s="3"/>
      <c r="F742" s="4"/>
      <c r="G742" s="5"/>
    </row>
    <row r="743" ht="15.75" customHeight="1">
      <c r="A743" s="10"/>
      <c r="E743" s="3"/>
      <c r="F743" s="4"/>
      <c r="G743" s="5"/>
    </row>
    <row r="744" ht="15.75" customHeight="1">
      <c r="A744" s="10"/>
      <c r="E744" s="3"/>
      <c r="F744" s="4"/>
      <c r="G744" s="5"/>
    </row>
    <row r="745" ht="15.75" customHeight="1">
      <c r="A745" s="10"/>
      <c r="E745" s="3"/>
      <c r="F745" s="4"/>
      <c r="G745" s="5"/>
    </row>
    <row r="746" ht="15.75" customHeight="1">
      <c r="A746" s="10"/>
      <c r="E746" s="3"/>
      <c r="F746" s="4"/>
      <c r="G746" s="5"/>
    </row>
    <row r="747" ht="15.75" customHeight="1">
      <c r="A747" s="10"/>
      <c r="E747" s="3"/>
      <c r="F747" s="4"/>
      <c r="G747" s="5"/>
    </row>
    <row r="748" ht="15.75" customHeight="1">
      <c r="A748" s="10"/>
      <c r="E748" s="3"/>
      <c r="F748" s="4"/>
      <c r="G748" s="5"/>
    </row>
    <row r="749" ht="15.75" customHeight="1">
      <c r="A749" s="10"/>
      <c r="E749" s="3"/>
      <c r="F749" s="4"/>
      <c r="G749" s="5"/>
    </row>
    <row r="750" ht="15.75" customHeight="1">
      <c r="A750" s="10"/>
      <c r="E750" s="3"/>
      <c r="F750" s="4"/>
      <c r="G750" s="5"/>
    </row>
    <row r="751" ht="15.75" customHeight="1">
      <c r="A751" s="10"/>
      <c r="E751" s="3"/>
      <c r="F751" s="4"/>
      <c r="G751" s="5"/>
    </row>
    <row r="752" ht="15.75" customHeight="1">
      <c r="A752" s="10"/>
      <c r="E752" s="3"/>
      <c r="F752" s="4"/>
      <c r="G752" s="5"/>
    </row>
    <row r="753" ht="15.75" customHeight="1">
      <c r="A753" s="10"/>
      <c r="E753" s="3"/>
      <c r="F753" s="4"/>
      <c r="G753" s="5"/>
    </row>
    <row r="754" ht="15.75" customHeight="1">
      <c r="A754" s="10"/>
      <c r="E754" s="3"/>
      <c r="F754" s="4"/>
      <c r="G754" s="5"/>
    </row>
    <row r="755" ht="15.75" customHeight="1">
      <c r="A755" s="10"/>
      <c r="E755" s="3"/>
      <c r="F755" s="4"/>
      <c r="G755" s="5"/>
    </row>
    <row r="756" ht="15.75" customHeight="1">
      <c r="A756" s="10"/>
      <c r="E756" s="3"/>
      <c r="F756" s="4"/>
      <c r="G756" s="5"/>
    </row>
    <row r="757" ht="15.75" customHeight="1">
      <c r="A757" s="10"/>
      <c r="E757" s="3"/>
      <c r="F757" s="4"/>
      <c r="G757" s="5"/>
    </row>
    <row r="758" ht="15.75" customHeight="1">
      <c r="A758" s="10"/>
      <c r="E758" s="3"/>
      <c r="F758" s="4"/>
      <c r="G758" s="5"/>
    </row>
    <row r="759" ht="15.75" customHeight="1">
      <c r="A759" s="10"/>
      <c r="E759" s="3"/>
      <c r="F759" s="4"/>
      <c r="G759" s="5"/>
    </row>
    <row r="760" ht="15.75" customHeight="1">
      <c r="A760" s="10"/>
      <c r="E760" s="3"/>
      <c r="F760" s="4"/>
      <c r="G760" s="5"/>
    </row>
    <row r="761" ht="15.75" customHeight="1">
      <c r="A761" s="10"/>
      <c r="E761" s="3"/>
      <c r="F761" s="4"/>
      <c r="G761" s="5"/>
    </row>
    <row r="762" ht="15.75" customHeight="1">
      <c r="A762" s="10"/>
      <c r="E762" s="3"/>
      <c r="F762" s="4"/>
      <c r="G762" s="5"/>
    </row>
    <row r="763" ht="15.75" customHeight="1">
      <c r="A763" s="10"/>
      <c r="E763" s="3"/>
      <c r="F763" s="4"/>
      <c r="G763" s="5"/>
    </row>
    <row r="764" ht="15.75" customHeight="1">
      <c r="A764" s="10"/>
      <c r="E764" s="3"/>
      <c r="F764" s="4"/>
      <c r="G764" s="5"/>
    </row>
    <row r="765" ht="15.75" customHeight="1">
      <c r="A765" s="10"/>
      <c r="E765" s="3"/>
      <c r="F765" s="4"/>
      <c r="G765" s="5"/>
    </row>
    <row r="766" ht="15.75" customHeight="1">
      <c r="A766" s="10"/>
      <c r="E766" s="3"/>
      <c r="F766" s="4"/>
      <c r="G766" s="5"/>
    </row>
    <row r="767" ht="15.75" customHeight="1">
      <c r="A767" s="10"/>
      <c r="E767" s="3"/>
      <c r="F767" s="4"/>
      <c r="G767" s="5"/>
    </row>
    <row r="768" ht="15.75" customHeight="1">
      <c r="A768" s="10"/>
      <c r="E768" s="3"/>
      <c r="F768" s="4"/>
      <c r="G768" s="5"/>
    </row>
    <row r="769" ht="15.75" customHeight="1">
      <c r="A769" s="10"/>
      <c r="E769" s="3"/>
      <c r="F769" s="4"/>
      <c r="G769" s="5"/>
    </row>
    <row r="770" ht="15.75" customHeight="1">
      <c r="A770" s="10"/>
      <c r="E770" s="3"/>
      <c r="F770" s="4"/>
      <c r="G770" s="5"/>
    </row>
    <row r="771" ht="15.75" customHeight="1">
      <c r="A771" s="10"/>
      <c r="E771" s="3"/>
      <c r="F771" s="4"/>
      <c r="G771" s="5"/>
    </row>
    <row r="772" ht="15.75" customHeight="1">
      <c r="A772" s="10"/>
      <c r="E772" s="3"/>
      <c r="F772" s="4"/>
      <c r="G772" s="5"/>
    </row>
    <row r="773" ht="15.75" customHeight="1">
      <c r="A773" s="10"/>
      <c r="E773" s="3"/>
      <c r="F773" s="4"/>
      <c r="G773" s="5"/>
    </row>
    <row r="774" ht="15.75" customHeight="1">
      <c r="A774" s="10"/>
      <c r="E774" s="3"/>
      <c r="F774" s="4"/>
      <c r="G774" s="5"/>
    </row>
    <row r="775" ht="15.75" customHeight="1">
      <c r="A775" s="10"/>
      <c r="E775" s="3"/>
      <c r="F775" s="4"/>
      <c r="G775" s="5"/>
    </row>
    <row r="776" ht="15.75" customHeight="1">
      <c r="A776" s="10"/>
      <c r="E776" s="3"/>
      <c r="F776" s="4"/>
      <c r="G776" s="5"/>
    </row>
    <row r="777" ht="15.75" customHeight="1">
      <c r="A777" s="10"/>
      <c r="E777" s="3"/>
      <c r="F777" s="4"/>
      <c r="G777" s="5"/>
    </row>
    <row r="778" ht="15.75" customHeight="1">
      <c r="A778" s="10"/>
      <c r="E778" s="3"/>
      <c r="F778" s="4"/>
      <c r="G778" s="5"/>
    </row>
    <row r="779" ht="15.75" customHeight="1">
      <c r="A779" s="10"/>
      <c r="E779" s="3"/>
      <c r="F779" s="4"/>
      <c r="G779" s="5"/>
    </row>
    <row r="780" ht="15.75" customHeight="1">
      <c r="A780" s="10"/>
      <c r="E780" s="3"/>
      <c r="F780" s="4"/>
      <c r="G780" s="5"/>
    </row>
    <row r="781" ht="15.75" customHeight="1">
      <c r="A781" s="10"/>
      <c r="E781" s="3"/>
      <c r="F781" s="4"/>
      <c r="G781" s="5"/>
    </row>
    <row r="782" ht="15.75" customHeight="1">
      <c r="A782" s="10"/>
      <c r="E782" s="3"/>
      <c r="F782" s="4"/>
      <c r="G782" s="5"/>
    </row>
    <row r="783" ht="15.75" customHeight="1">
      <c r="A783" s="10"/>
      <c r="E783" s="3"/>
      <c r="F783" s="4"/>
      <c r="G783" s="5"/>
    </row>
    <row r="784" ht="15.75" customHeight="1">
      <c r="A784" s="10"/>
      <c r="E784" s="3"/>
      <c r="F784" s="4"/>
      <c r="G784" s="5"/>
    </row>
    <row r="785" ht="15.75" customHeight="1">
      <c r="A785" s="10"/>
      <c r="E785" s="3"/>
      <c r="F785" s="4"/>
      <c r="G785" s="5"/>
    </row>
    <row r="786" ht="15.75" customHeight="1">
      <c r="A786" s="10"/>
      <c r="E786" s="3"/>
      <c r="F786" s="4"/>
      <c r="G786" s="5"/>
    </row>
    <row r="787" ht="15.75" customHeight="1">
      <c r="A787" s="10"/>
      <c r="E787" s="3"/>
      <c r="F787" s="4"/>
      <c r="G787" s="5"/>
    </row>
    <row r="788" ht="15.75" customHeight="1">
      <c r="A788" s="10"/>
      <c r="E788" s="3"/>
      <c r="F788" s="4"/>
      <c r="G788" s="5"/>
    </row>
    <row r="789" ht="15.75" customHeight="1">
      <c r="A789" s="10"/>
      <c r="E789" s="3"/>
      <c r="F789" s="4"/>
      <c r="G789" s="5"/>
    </row>
    <row r="790" ht="15.75" customHeight="1">
      <c r="A790" s="10"/>
      <c r="E790" s="3"/>
      <c r="F790" s="4"/>
      <c r="G790" s="5"/>
    </row>
    <row r="791" ht="15.75" customHeight="1">
      <c r="A791" s="10"/>
      <c r="E791" s="3"/>
      <c r="F791" s="4"/>
      <c r="G791" s="5"/>
    </row>
    <row r="792" ht="15.75" customHeight="1">
      <c r="A792" s="10"/>
      <c r="E792" s="3"/>
      <c r="F792" s="4"/>
      <c r="G792" s="5"/>
    </row>
    <row r="793" ht="15.75" customHeight="1">
      <c r="A793" s="10"/>
      <c r="E793" s="3"/>
      <c r="F793" s="4"/>
      <c r="G793" s="5"/>
    </row>
    <row r="794" ht="15.75" customHeight="1">
      <c r="A794" s="10"/>
      <c r="E794" s="3"/>
      <c r="F794" s="4"/>
      <c r="G794" s="5"/>
    </row>
    <row r="795" ht="15.75" customHeight="1">
      <c r="A795" s="10"/>
      <c r="E795" s="3"/>
      <c r="F795" s="4"/>
      <c r="G795" s="5"/>
    </row>
    <row r="796" ht="15.75" customHeight="1">
      <c r="A796" s="10"/>
      <c r="E796" s="3"/>
      <c r="F796" s="4"/>
      <c r="G796" s="5"/>
    </row>
    <row r="797" ht="15.75" customHeight="1">
      <c r="A797" s="10"/>
      <c r="E797" s="3"/>
      <c r="F797" s="4"/>
      <c r="G797" s="5"/>
    </row>
    <row r="798" ht="15.75" customHeight="1">
      <c r="A798" s="10"/>
      <c r="E798" s="3"/>
      <c r="F798" s="4"/>
      <c r="G798" s="5"/>
    </row>
    <row r="799" ht="15.75" customHeight="1">
      <c r="A799" s="10"/>
      <c r="E799" s="3"/>
      <c r="F799" s="4"/>
      <c r="G799" s="5"/>
    </row>
    <row r="800" ht="15.75" customHeight="1">
      <c r="A800" s="10"/>
      <c r="E800" s="3"/>
      <c r="F800" s="4"/>
      <c r="G800" s="5"/>
    </row>
    <row r="801" ht="15.75" customHeight="1">
      <c r="A801" s="10"/>
      <c r="E801" s="3"/>
      <c r="F801" s="4"/>
      <c r="G801" s="5"/>
    </row>
    <row r="802" ht="15.75" customHeight="1">
      <c r="A802" s="10"/>
      <c r="E802" s="3"/>
      <c r="F802" s="4"/>
      <c r="G802" s="5"/>
    </row>
    <row r="803" ht="15.75" customHeight="1">
      <c r="A803" s="10"/>
      <c r="E803" s="3"/>
      <c r="F803" s="4"/>
      <c r="G803" s="5"/>
    </row>
    <row r="804" ht="15.75" customHeight="1">
      <c r="A804" s="10"/>
      <c r="E804" s="3"/>
      <c r="F804" s="4"/>
      <c r="G804" s="5"/>
    </row>
    <row r="805" ht="15.75" customHeight="1">
      <c r="A805" s="10"/>
      <c r="E805" s="3"/>
      <c r="F805" s="4"/>
      <c r="G805" s="5"/>
    </row>
    <row r="806" ht="15.75" customHeight="1">
      <c r="A806" s="10"/>
      <c r="E806" s="3"/>
      <c r="F806" s="4"/>
      <c r="G806" s="5"/>
    </row>
    <row r="807" ht="15.75" customHeight="1">
      <c r="A807" s="10"/>
      <c r="E807" s="3"/>
      <c r="F807" s="4"/>
      <c r="G807" s="5"/>
    </row>
    <row r="808" ht="15.75" customHeight="1">
      <c r="A808" s="10"/>
      <c r="E808" s="3"/>
      <c r="F808" s="4"/>
      <c r="G808" s="5"/>
    </row>
    <row r="809" ht="15.75" customHeight="1">
      <c r="A809" s="10"/>
      <c r="E809" s="3"/>
      <c r="F809" s="4"/>
      <c r="G809" s="5"/>
    </row>
    <row r="810" ht="15.75" customHeight="1">
      <c r="A810" s="10"/>
      <c r="E810" s="3"/>
      <c r="F810" s="4"/>
      <c r="G810" s="5"/>
    </row>
    <row r="811" ht="15.75" customHeight="1">
      <c r="A811" s="10"/>
      <c r="E811" s="3"/>
      <c r="F811" s="4"/>
      <c r="G811" s="5"/>
    </row>
    <row r="812" ht="15.75" customHeight="1">
      <c r="A812" s="10"/>
      <c r="E812" s="3"/>
      <c r="F812" s="4"/>
      <c r="G812" s="5"/>
    </row>
    <row r="813" ht="15.75" customHeight="1">
      <c r="A813" s="10"/>
      <c r="E813" s="3"/>
      <c r="F813" s="4"/>
      <c r="G813" s="5"/>
    </row>
    <row r="814" ht="15.75" customHeight="1">
      <c r="A814" s="10"/>
      <c r="E814" s="3"/>
      <c r="F814" s="4"/>
      <c r="G814" s="5"/>
    </row>
    <row r="815" ht="15.75" customHeight="1">
      <c r="A815" s="10"/>
      <c r="E815" s="3"/>
      <c r="F815" s="4"/>
      <c r="G815" s="5"/>
    </row>
    <row r="816" ht="15.75" customHeight="1">
      <c r="A816" s="10"/>
      <c r="E816" s="3"/>
      <c r="F816" s="4"/>
      <c r="G816" s="5"/>
    </row>
    <row r="817" ht="15.75" customHeight="1">
      <c r="A817" s="10"/>
      <c r="E817" s="3"/>
      <c r="F817" s="4"/>
      <c r="G817" s="5"/>
    </row>
    <row r="818" ht="15.75" customHeight="1">
      <c r="A818" s="10"/>
      <c r="E818" s="3"/>
      <c r="F818" s="4"/>
      <c r="G818" s="5"/>
    </row>
    <row r="819" ht="15.75" customHeight="1">
      <c r="A819" s="10"/>
      <c r="E819" s="3"/>
      <c r="F819" s="4"/>
      <c r="G819" s="5"/>
    </row>
    <row r="820" ht="15.75" customHeight="1">
      <c r="A820" s="10"/>
      <c r="E820" s="3"/>
      <c r="F820" s="4"/>
      <c r="G820" s="5"/>
    </row>
    <row r="821" ht="15.75" customHeight="1">
      <c r="A821" s="10"/>
      <c r="E821" s="3"/>
      <c r="F821" s="4"/>
      <c r="G821" s="5"/>
    </row>
    <row r="822" ht="15.75" customHeight="1">
      <c r="A822" s="10"/>
      <c r="E822" s="3"/>
      <c r="F822" s="4"/>
      <c r="G822" s="5"/>
    </row>
    <row r="823" ht="15.75" customHeight="1">
      <c r="A823" s="10"/>
      <c r="E823" s="3"/>
      <c r="F823" s="4"/>
      <c r="G823" s="5"/>
    </row>
    <row r="824" ht="15.75" customHeight="1">
      <c r="A824" s="10"/>
      <c r="E824" s="3"/>
      <c r="F824" s="4"/>
      <c r="G824" s="5"/>
    </row>
    <row r="825" ht="15.75" customHeight="1">
      <c r="A825" s="10"/>
      <c r="E825" s="3"/>
      <c r="F825" s="4"/>
      <c r="G825" s="5"/>
    </row>
    <row r="826" ht="15.75" customHeight="1">
      <c r="A826" s="10"/>
      <c r="E826" s="3"/>
      <c r="F826" s="4"/>
      <c r="G826" s="5"/>
    </row>
    <row r="827" ht="15.75" customHeight="1">
      <c r="A827" s="10"/>
      <c r="E827" s="3"/>
      <c r="F827" s="4"/>
      <c r="G827" s="5"/>
    </row>
    <row r="828" ht="15.75" customHeight="1">
      <c r="A828" s="10"/>
      <c r="E828" s="3"/>
      <c r="F828" s="4"/>
      <c r="G828" s="5"/>
    </row>
    <row r="829" ht="15.75" customHeight="1">
      <c r="A829" s="10"/>
      <c r="E829" s="3"/>
      <c r="F829" s="4"/>
      <c r="G829" s="5"/>
    </row>
    <row r="830" ht="15.75" customHeight="1">
      <c r="A830" s="10"/>
      <c r="E830" s="3"/>
      <c r="F830" s="4"/>
      <c r="G830" s="5"/>
    </row>
    <row r="831" ht="15.75" customHeight="1">
      <c r="A831" s="10"/>
      <c r="E831" s="3"/>
      <c r="F831" s="4"/>
      <c r="G831" s="5"/>
    </row>
    <row r="832" ht="15.75" customHeight="1">
      <c r="A832" s="10"/>
      <c r="E832" s="3"/>
      <c r="F832" s="4"/>
      <c r="G832" s="5"/>
    </row>
    <row r="833" ht="15.75" customHeight="1">
      <c r="A833" s="10"/>
      <c r="E833" s="3"/>
      <c r="F833" s="4"/>
      <c r="G833" s="5"/>
    </row>
    <row r="834" ht="15.75" customHeight="1">
      <c r="A834" s="10"/>
      <c r="E834" s="3"/>
      <c r="F834" s="4"/>
      <c r="G834" s="5"/>
    </row>
    <row r="835" ht="15.75" customHeight="1">
      <c r="A835" s="10"/>
      <c r="E835" s="3"/>
      <c r="F835" s="4"/>
      <c r="G835" s="5"/>
    </row>
    <row r="836" ht="15.75" customHeight="1">
      <c r="A836" s="10"/>
      <c r="E836" s="3"/>
      <c r="F836" s="4"/>
      <c r="G836" s="5"/>
    </row>
    <row r="837" ht="15.75" customHeight="1">
      <c r="A837" s="10"/>
      <c r="E837" s="3"/>
      <c r="F837" s="4"/>
      <c r="G837" s="5"/>
    </row>
    <row r="838" ht="15.75" customHeight="1">
      <c r="A838" s="10"/>
      <c r="E838" s="3"/>
      <c r="F838" s="4"/>
      <c r="G838" s="5"/>
    </row>
    <row r="839" ht="15.75" customHeight="1">
      <c r="A839" s="10"/>
      <c r="E839" s="3"/>
      <c r="F839" s="4"/>
      <c r="G839" s="5"/>
    </row>
    <row r="840" ht="15.75" customHeight="1">
      <c r="A840" s="10"/>
      <c r="E840" s="3"/>
      <c r="F840" s="4"/>
      <c r="G840" s="5"/>
    </row>
    <row r="841" ht="15.75" customHeight="1">
      <c r="A841" s="10"/>
      <c r="E841" s="3"/>
      <c r="F841" s="4"/>
      <c r="G841" s="5"/>
    </row>
    <row r="842" ht="15.75" customHeight="1">
      <c r="A842" s="10"/>
      <c r="E842" s="3"/>
      <c r="F842" s="4"/>
      <c r="G842" s="5"/>
    </row>
    <row r="843" ht="15.75" customHeight="1">
      <c r="A843" s="10"/>
      <c r="E843" s="3"/>
      <c r="F843" s="4"/>
      <c r="G843" s="5"/>
    </row>
    <row r="844" ht="15.75" customHeight="1">
      <c r="A844" s="10"/>
      <c r="E844" s="3"/>
      <c r="F844" s="4"/>
      <c r="G844" s="5"/>
    </row>
    <row r="845" ht="15.75" customHeight="1">
      <c r="A845" s="10"/>
      <c r="E845" s="3"/>
      <c r="F845" s="4"/>
      <c r="G845" s="5"/>
    </row>
    <row r="846" ht="15.75" customHeight="1">
      <c r="A846" s="10"/>
      <c r="E846" s="3"/>
      <c r="F846" s="4"/>
      <c r="G846" s="5"/>
    </row>
    <row r="847" ht="15.75" customHeight="1">
      <c r="A847" s="10"/>
      <c r="E847" s="3"/>
      <c r="F847" s="4"/>
      <c r="G847" s="5"/>
    </row>
    <row r="848" ht="15.75" customHeight="1">
      <c r="A848" s="10"/>
      <c r="E848" s="3"/>
      <c r="F848" s="4"/>
      <c r="G848" s="5"/>
    </row>
    <row r="849" ht="15.75" customHeight="1">
      <c r="A849" s="10"/>
      <c r="E849" s="3"/>
      <c r="F849" s="4"/>
      <c r="G849" s="5"/>
    </row>
    <row r="850" ht="15.75" customHeight="1">
      <c r="A850" s="10"/>
      <c r="E850" s="3"/>
      <c r="F850" s="4"/>
      <c r="G850" s="5"/>
    </row>
    <row r="851" ht="15.75" customHeight="1">
      <c r="A851" s="10"/>
      <c r="E851" s="3"/>
      <c r="F851" s="4"/>
      <c r="G851" s="5"/>
    </row>
    <row r="852" ht="15.75" customHeight="1">
      <c r="A852" s="10"/>
      <c r="E852" s="3"/>
      <c r="F852" s="4"/>
      <c r="G852" s="5"/>
    </row>
    <row r="853" ht="15.75" customHeight="1">
      <c r="A853" s="10"/>
      <c r="E853" s="3"/>
      <c r="F853" s="4"/>
      <c r="G853" s="5"/>
    </row>
    <row r="854" ht="15.75" customHeight="1">
      <c r="A854" s="10"/>
      <c r="E854" s="3"/>
      <c r="F854" s="4"/>
      <c r="G854" s="5"/>
    </row>
    <row r="855" ht="15.75" customHeight="1">
      <c r="A855" s="10"/>
      <c r="E855" s="3"/>
      <c r="F855" s="4"/>
      <c r="G855" s="5"/>
    </row>
    <row r="856" ht="15.75" customHeight="1">
      <c r="A856" s="10"/>
      <c r="E856" s="3"/>
      <c r="F856" s="4"/>
      <c r="G856" s="5"/>
    </row>
    <row r="857" ht="15.75" customHeight="1">
      <c r="A857" s="10"/>
      <c r="E857" s="3"/>
      <c r="F857" s="4"/>
      <c r="G857" s="5"/>
    </row>
    <row r="858" ht="15.75" customHeight="1">
      <c r="A858" s="10"/>
      <c r="E858" s="3"/>
      <c r="F858" s="4"/>
      <c r="G858" s="5"/>
    </row>
    <row r="859" ht="15.75" customHeight="1">
      <c r="A859" s="10"/>
      <c r="E859" s="3"/>
      <c r="F859" s="4"/>
      <c r="G859" s="5"/>
    </row>
    <row r="860" ht="15.75" customHeight="1">
      <c r="A860" s="10"/>
      <c r="E860" s="3"/>
      <c r="F860" s="4"/>
      <c r="G860" s="5"/>
    </row>
    <row r="861" ht="15.75" customHeight="1">
      <c r="A861" s="10"/>
      <c r="E861" s="3"/>
      <c r="F861" s="4"/>
      <c r="G861" s="5"/>
    </row>
    <row r="862" ht="15.75" customHeight="1">
      <c r="A862" s="10"/>
      <c r="E862" s="3"/>
      <c r="F862" s="4"/>
      <c r="G862" s="5"/>
    </row>
    <row r="863" ht="15.75" customHeight="1">
      <c r="A863" s="10"/>
      <c r="E863" s="3"/>
      <c r="F863" s="4"/>
      <c r="G863" s="5"/>
    </row>
    <row r="864" ht="15.75" customHeight="1">
      <c r="A864" s="10"/>
      <c r="E864" s="3"/>
      <c r="F864" s="4"/>
      <c r="G864" s="5"/>
    </row>
    <row r="865" ht="15.75" customHeight="1">
      <c r="A865" s="10"/>
      <c r="E865" s="3"/>
      <c r="F865" s="4"/>
      <c r="G865" s="5"/>
    </row>
    <row r="866" ht="15.75" customHeight="1">
      <c r="A866" s="10"/>
      <c r="E866" s="3"/>
      <c r="F866" s="4"/>
      <c r="G866" s="5"/>
    </row>
    <row r="867" ht="15.75" customHeight="1">
      <c r="A867" s="10"/>
      <c r="E867" s="3"/>
      <c r="F867" s="4"/>
      <c r="G867" s="5"/>
    </row>
    <row r="868" ht="15.75" customHeight="1">
      <c r="A868" s="10"/>
      <c r="E868" s="3"/>
      <c r="F868" s="4"/>
      <c r="G868" s="5"/>
    </row>
    <row r="869" ht="15.75" customHeight="1">
      <c r="A869" s="10"/>
      <c r="E869" s="3"/>
      <c r="F869" s="4"/>
      <c r="G869" s="5"/>
    </row>
    <row r="870" ht="15.75" customHeight="1">
      <c r="A870" s="10"/>
      <c r="E870" s="3"/>
      <c r="F870" s="4"/>
      <c r="G870" s="5"/>
    </row>
    <row r="871" ht="15.75" customHeight="1">
      <c r="A871" s="10"/>
      <c r="E871" s="3"/>
      <c r="F871" s="4"/>
      <c r="G871" s="5"/>
    </row>
    <row r="872" ht="15.75" customHeight="1">
      <c r="A872" s="10"/>
      <c r="E872" s="3"/>
      <c r="F872" s="4"/>
      <c r="G872" s="5"/>
    </row>
    <row r="873" ht="15.75" customHeight="1">
      <c r="A873" s="10"/>
      <c r="E873" s="3"/>
      <c r="F873" s="4"/>
      <c r="G873" s="5"/>
    </row>
    <row r="874" ht="15.75" customHeight="1">
      <c r="A874" s="10"/>
      <c r="E874" s="3"/>
      <c r="F874" s="4"/>
      <c r="G874" s="5"/>
    </row>
    <row r="875" ht="15.75" customHeight="1">
      <c r="A875" s="10"/>
      <c r="E875" s="3"/>
      <c r="F875" s="4"/>
      <c r="G875" s="5"/>
    </row>
    <row r="876" ht="15.75" customHeight="1">
      <c r="A876" s="10"/>
      <c r="E876" s="3"/>
      <c r="F876" s="4"/>
      <c r="G876" s="5"/>
    </row>
    <row r="877" ht="15.75" customHeight="1">
      <c r="A877" s="10"/>
      <c r="E877" s="3"/>
      <c r="F877" s="4"/>
      <c r="G877" s="5"/>
    </row>
    <row r="878" ht="15.75" customHeight="1">
      <c r="A878" s="10"/>
      <c r="E878" s="3"/>
      <c r="F878" s="4"/>
      <c r="G878" s="5"/>
    </row>
    <row r="879" ht="15.75" customHeight="1">
      <c r="A879" s="10"/>
      <c r="E879" s="3"/>
      <c r="F879" s="4"/>
      <c r="G879" s="5"/>
    </row>
    <row r="880" ht="15.75" customHeight="1">
      <c r="A880" s="10"/>
      <c r="E880" s="3"/>
      <c r="F880" s="4"/>
      <c r="G880" s="5"/>
    </row>
    <row r="881" ht="15.75" customHeight="1">
      <c r="A881" s="10"/>
      <c r="E881" s="3"/>
      <c r="F881" s="4"/>
      <c r="G881" s="5"/>
    </row>
    <row r="882" ht="15.75" customHeight="1">
      <c r="A882" s="10"/>
      <c r="E882" s="3"/>
      <c r="F882" s="4"/>
      <c r="G882" s="5"/>
    </row>
    <row r="883" ht="15.75" customHeight="1">
      <c r="A883" s="10"/>
      <c r="E883" s="3"/>
      <c r="F883" s="4"/>
      <c r="G883" s="5"/>
    </row>
    <row r="884" ht="15.75" customHeight="1">
      <c r="A884" s="10"/>
      <c r="E884" s="3"/>
      <c r="F884" s="4"/>
      <c r="G884" s="5"/>
    </row>
    <row r="885" ht="15.75" customHeight="1">
      <c r="A885" s="10"/>
      <c r="E885" s="3"/>
      <c r="F885" s="4"/>
      <c r="G885" s="5"/>
    </row>
    <row r="886" ht="15.75" customHeight="1">
      <c r="A886" s="10"/>
      <c r="E886" s="3"/>
      <c r="F886" s="4"/>
      <c r="G886" s="5"/>
    </row>
    <row r="887" ht="15.75" customHeight="1">
      <c r="A887" s="10"/>
      <c r="E887" s="3"/>
      <c r="F887" s="4"/>
      <c r="G887" s="5"/>
    </row>
    <row r="888" ht="15.75" customHeight="1">
      <c r="A888" s="10"/>
      <c r="E888" s="3"/>
      <c r="F888" s="4"/>
      <c r="G888" s="5"/>
    </row>
    <row r="889" ht="15.75" customHeight="1">
      <c r="A889" s="10"/>
      <c r="E889" s="3"/>
      <c r="F889" s="4"/>
      <c r="G889" s="5"/>
    </row>
    <row r="890" ht="15.75" customHeight="1">
      <c r="A890" s="10"/>
      <c r="E890" s="3"/>
      <c r="F890" s="4"/>
      <c r="G890" s="5"/>
    </row>
    <row r="891" ht="15.75" customHeight="1">
      <c r="A891" s="10"/>
      <c r="E891" s="3"/>
      <c r="F891" s="4"/>
      <c r="G891" s="5"/>
    </row>
    <row r="892" ht="15.75" customHeight="1">
      <c r="A892" s="10"/>
      <c r="E892" s="3"/>
      <c r="F892" s="4"/>
      <c r="G892" s="5"/>
    </row>
    <row r="893" ht="15.75" customHeight="1">
      <c r="A893" s="10"/>
      <c r="E893" s="3"/>
      <c r="F893" s="4"/>
      <c r="G893" s="5"/>
    </row>
    <row r="894" ht="15.75" customHeight="1">
      <c r="A894" s="10"/>
      <c r="E894" s="3"/>
      <c r="F894" s="4"/>
      <c r="G894" s="5"/>
    </row>
    <row r="895" ht="15.75" customHeight="1">
      <c r="A895" s="10"/>
      <c r="E895" s="3"/>
      <c r="F895" s="4"/>
      <c r="G895" s="5"/>
    </row>
    <row r="896" ht="15.75" customHeight="1">
      <c r="A896" s="10"/>
      <c r="E896" s="3"/>
      <c r="F896" s="4"/>
      <c r="G896" s="5"/>
    </row>
    <row r="897" ht="15.75" customHeight="1">
      <c r="A897" s="10"/>
      <c r="E897" s="3"/>
      <c r="F897" s="4"/>
      <c r="G897" s="5"/>
    </row>
    <row r="898" ht="15.75" customHeight="1">
      <c r="A898" s="10"/>
      <c r="E898" s="3"/>
      <c r="F898" s="4"/>
      <c r="G898" s="5"/>
    </row>
    <row r="899" ht="15.75" customHeight="1">
      <c r="A899" s="10"/>
      <c r="E899" s="3"/>
      <c r="F899" s="4"/>
      <c r="G899" s="5"/>
    </row>
    <row r="900" ht="15.75" customHeight="1">
      <c r="A900" s="10"/>
      <c r="E900" s="3"/>
      <c r="F900" s="4"/>
      <c r="G900" s="5"/>
    </row>
    <row r="901" ht="15.75" customHeight="1">
      <c r="A901" s="10"/>
      <c r="E901" s="3"/>
      <c r="F901" s="4"/>
      <c r="G901" s="5"/>
    </row>
    <row r="902" ht="15.75" customHeight="1">
      <c r="A902" s="10"/>
      <c r="E902" s="3"/>
      <c r="F902" s="4"/>
      <c r="G902" s="5"/>
    </row>
    <row r="903" ht="15.75" customHeight="1">
      <c r="A903" s="10"/>
      <c r="E903" s="3"/>
      <c r="F903" s="4"/>
      <c r="G903" s="5"/>
    </row>
    <row r="904" ht="15.75" customHeight="1">
      <c r="A904" s="10"/>
      <c r="E904" s="3"/>
      <c r="F904" s="4"/>
      <c r="G904" s="5"/>
    </row>
    <row r="905" ht="15.75" customHeight="1">
      <c r="A905" s="10"/>
      <c r="E905" s="3"/>
      <c r="F905" s="4"/>
      <c r="G905" s="5"/>
    </row>
    <row r="906" ht="15.75" customHeight="1">
      <c r="A906" s="10"/>
      <c r="E906" s="3"/>
      <c r="F906" s="4"/>
      <c r="G906" s="5"/>
    </row>
    <row r="907" ht="15.75" customHeight="1">
      <c r="A907" s="10"/>
      <c r="E907" s="3"/>
      <c r="F907" s="4"/>
      <c r="G907" s="5"/>
    </row>
    <row r="908" ht="15.75" customHeight="1">
      <c r="A908" s="10"/>
      <c r="E908" s="3"/>
      <c r="F908" s="4"/>
      <c r="G908" s="5"/>
    </row>
    <row r="909" ht="15.75" customHeight="1">
      <c r="A909" s="10"/>
      <c r="E909" s="3"/>
      <c r="F909" s="4"/>
      <c r="G909" s="5"/>
    </row>
    <row r="910" ht="15.75" customHeight="1">
      <c r="A910" s="10"/>
      <c r="E910" s="3"/>
      <c r="F910" s="4"/>
      <c r="G910" s="5"/>
    </row>
    <row r="911" ht="15.75" customHeight="1">
      <c r="A911" s="10"/>
      <c r="E911" s="3"/>
      <c r="F911" s="4"/>
      <c r="G911" s="5"/>
    </row>
    <row r="912" ht="15.75" customHeight="1">
      <c r="A912" s="10"/>
      <c r="E912" s="3"/>
      <c r="F912" s="4"/>
      <c r="G912" s="5"/>
    </row>
    <row r="913" ht="15.75" customHeight="1">
      <c r="A913" s="10"/>
      <c r="E913" s="3"/>
      <c r="F913" s="4"/>
      <c r="G913" s="5"/>
    </row>
    <row r="914" ht="15.75" customHeight="1">
      <c r="A914" s="10"/>
      <c r="E914" s="3"/>
      <c r="F914" s="4"/>
      <c r="G914" s="5"/>
    </row>
    <row r="915" ht="15.75" customHeight="1">
      <c r="A915" s="10"/>
      <c r="E915" s="3"/>
      <c r="F915" s="4"/>
      <c r="G915" s="5"/>
    </row>
    <row r="916" ht="15.75" customHeight="1">
      <c r="A916" s="10"/>
      <c r="E916" s="3"/>
      <c r="F916" s="4"/>
      <c r="G916" s="5"/>
    </row>
    <row r="917" ht="15.75" customHeight="1">
      <c r="A917" s="10"/>
      <c r="E917" s="3"/>
      <c r="F917" s="4"/>
      <c r="G917" s="5"/>
    </row>
    <row r="918" ht="15.75" customHeight="1">
      <c r="A918" s="10"/>
      <c r="E918" s="3"/>
      <c r="F918" s="4"/>
      <c r="G918" s="5"/>
    </row>
    <row r="919" ht="15.75" customHeight="1">
      <c r="A919" s="10"/>
      <c r="E919" s="3"/>
      <c r="F919" s="4"/>
      <c r="G919" s="5"/>
    </row>
    <row r="920" ht="15.75" customHeight="1">
      <c r="A920" s="10"/>
      <c r="E920" s="3"/>
      <c r="F920" s="4"/>
      <c r="G920" s="5"/>
    </row>
    <row r="921" ht="15.75" customHeight="1">
      <c r="A921" s="10"/>
      <c r="E921" s="3"/>
      <c r="F921" s="4"/>
      <c r="G921" s="5"/>
    </row>
    <row r="922" ht="15.75" customHeight="1">
      <c r="A922" s="10"/>
      <c r="E922" s="3"/>
      <c r="F922" s="4"/>
      <c r="G922" s="5"/>
    </row>
    <row r="923" ht="15.75" customHeight="1">
      <c r="A923" s="10"/>
      <c r="E923" s="3"/>
      <c r="F923" s="4"/>
      <c r="G923" s="5"/>
    </row>
    <row r="924" ht="15.75" customHeight="1">
      <c r="A924" s="10"/>
      <c r="E924" s="3"/>
      <c r="F924" s="4"/>
      <c r="G924" s="5"/>
    </row>
    <row r="925" ht="15.75" customHeight="1">
      <c r="A925" s="10"/>
      <c r="E925" s="3"/>
      <c r="F925" s="4"/>
      <c r="G925" s="5"/>
    </row>
    <row r="926" ht="15.75" customHeight="1">
      <c r="A926" s="10"/>
      <c r="E926" s="3"/>
      <c r="F926" s="4"/>
      <c r="G926" s="5"/>
    </row>
    <row r="927" ht="15.75" customHeight="1">
      <c r="A927" s="10"/>
      <c r="E927" s="3"/>
      <c r="F927" s="4"/>
      <c r="G927" s="5"/>
    </row>
    <row r="928" ht="15.75" customHeight="1">
      <c r="A928" s="10"/>
      <c r="E928" s="3"/>
      <c r="F928" s="4"/>
      <c r="G928" s="5"/>
    </row>
    <row r="929" ht="15.75" customHeight="1">
      <c r="A929" s="10"/>
      <c r="E929" s="3"/>
      <c r="F929" s="4"/>
      <c r="G929" s="5"/>
    </row>
    <row r="930" ht="15.75" customHeight="1">
      <c r="A930" s="10"/>
      <c r="E930" s="3"/>
      <c r="F930" s="4"/>
      <c r="G930" s="5"/>
    </row>
    <row r="931" ht="15.75" customHeight="1">
      <c r="A931" s="10"/>
      <c r="E931" s="3"/>
      <c r="F931" s="4"/>
      <c r="G931" s="5"/>
    </row>
    <row r="932" ht="15.75" customHeight="1">
      <c r="A932" s="10"/>
      <c r="E932" s="3"/>
      <c r="F932" s="4"/>
      <c r="G932" s="5"/>
    </row>
    <row r="933" ht="15.75" customHeight="1">
      <c r="A933" s="10"/>
      <c r="E933" s="3"/>
      <c r="F933" s="4"/>
      <c r="G933" s="5"/>
    </row>
    <row r="934" ht="15.75" customHeight="1">
      <c r="A934" s="10"/>
      <c r="E934" s="3"/>
      <c r="F934" s="4"/>
      <c r="G934" s="5"/>
    </row>
    <row r="935" ht="15.75" customHeight="1">
      <c r="A935" s="10"/>
      <c r="E935" s="3"/>
      <c r="F935" s="4"/>
      <c r="G935" s="5"/>
    </row>
    <row r="936" ht="15.75" customHeight="1">
      <c r="A936" s="10"/>
      <c r="E936" s="3"/>
      <c r="F936" s="4"/>
      <c r="G936" s="5"/>
    </row>
    <row r="937" ht="15.75" customHeight="1">
      <c r="A937" s="10"/>
      <c r="E937" s="3"/>
      <c r="F937" s="4"/>
      <c r="G937" s="5"/>
    </row>
    <row r="938" ht="15.75" customHeight="1">
      <c r="A938" s="10"/>
      <c r="E938" s="3"/>
      <c r="F938" s="4"/>
      <c r="G938" s="5"/>
    </row>
    <row r="939" ht="15.75" customHeight="1">
      <c r="A939" s="10"/>
      <c r="E939" s="3"/>
      <c r="F939" s="4"/>
      <c r="G939" s="5"/>
    </row>
    <row r="940" ht="15.75" customHeight="1">
      <c r="A940" s="10"/>
      <c r="E940" s="3"/>
      <c r="F940" s="4"/>
      <c r="G940" s="5"/>
    </row>
    <row r="941" ht="15.75" customHeight="1">
      <c r="A941" s="10"/>
      <c r="E941" s="3"/>
      <c r="F941" s="4"/>
      <c r="G941" s="5"/>
    </row>
    <row r="942" ht="15.75" customHeight="1">
      <c r="A942" s="10"/>
      <c r="E942" s="3"/>
      <c r="F942" s="4"/>
      <c r="G942" s="5"/>
    </row>
    <row r="943" ht="15.75" customHeight="1">
      <c r="A943" s="10"/>
      <c r="E943" s="3"/>
      <c r="F943" s="4"/>
      <c r="G943" s="5"/>
    </row>
    <row r="944" ht="15.75" customHeight="1">
      <c r="A944" s="10"/>
      <c r="E944" s="3"/>
      <c r="F944" s="4"/>
      <c r="G944" s="5"/>
    </row>
    <row r="945" ht="15.75" customHeight="1">
      <c r="A945" s="10"/>
      <c r="E945" s="3"/>
      <c r="F945" s="4"/>
      <c r="G945" s="5"/>
    </row>
    <row r="946" ht="15.75" customHeight="1">
      <c r="A946" s="10"/>
      <c r="E946" s="3"/>
      <c r="F946" s="4"/>
      <c r="G946" s="5"/>
    </row>
    <row r="947" ht="15.75" customHeight="1">
      <c r="A947" s="10"/>
      <c r="E947" s="3"/>
      <c r="F947" s="4"/>
      <c r="G947" s="5"/>
    </row>
    <row r="948" ht="15.75" customHeight="1">
      <c r="A948" s="10"/>
      <c r="E948" s="3"/>
      <c r="F948" s="4"/>
      <c r="G948" s="5"/>
    </row>
    <row r="949" ht="15.75" customHeight="1">
      <c r="A949" s="10"/>
      <c r="E949" s="3"/>
      <c r="F949" s="4"/>
      <c r="G949" s="5"/>
    </row>
    <row r="950" ht="15.75" customHeight="1">
      <c r="A950" s="10"/>
      <c r="E950" s="3"/>
      <c r="F950" s="4"/>
      <c r="G950" s="5"/>
    </row>
    <row r="951" ht="15.75" customHeight="1">
      <c r="A951" s="10"/>
      <c r="E951" s="3"/>
      <c r="F951" s="4"/>
      <c r="G951" s="5"/>
    </row>
    <row r="952" ht="15.75" customHeight="1">
      <c r="A952" s="10"/>
      <c r="E952" s="3"/>
      <c r="F952" s="4"/>
      <c r="G952" s="5"/>
    </row>
    <row r="953" ht="15.75" customHeight="1">
      <c r="A953" s="10"/>
      <c r="E953" s="3"/>
      <c r="F953" s="4"/>
      <c r="G953" s="5"/>
    </row>
    <row r="954" ht="15.75" customHeight="1">
      <c r="A954" s="10"/>
      <c r="E954" s="3"/>
      <c r="F954" s="4"/>
      <c r="G954" s="5"/>
    </row>
    <row r="955" ht="15.75" customHeight="1">
      <c r="A955" s="10"/>
      <c r="E955" s="3"/>
      <c r="F955" s="4"/>
      <c r="G955" s="5"/>
    </row>
    <row r="956" ht="15.75" customHeight="1">
      <c r="A956" s="10"/>
      <c r="E956" s="3"/>
      <c r="F956" s="4"/>
      <c r="G956" s="5"/>
    </row>
    <row r="957" ht="15.75" customHeight="1">
      <c r="A957" s="10"/>
      <c r="E957" s="3"/>
      <c r="F957" s="4"/>
      <c r="G957" s="5"/>
    </row>
    <row r="958" ht="15.75" customHeight="1">
      <c r="A958" s="10"/>
      <c r="E958" s="3"/>
      <c r="F958" s="4"/>
      <c r="G958" s="5"/>
    </row>
    <row r="959" ht="15.75" customHeight="1">
      <c r="A959" s="10"/>
      <c r="E959" s="3"/>
      <c r="F959" s="4"/>
      <c r="G959" s="5"/>
    </row>
    <row r="960" ht="15.75" customHeight="1">
      <c r="A960" s="10"/>
      <c r="E960" s="3"/>
      <c r="F960" s="4"/>
      <c r="G960" s="5"/>
    </row>
    <row r="961" ht="15.75" customHeight="1">
      <c r="A961" s="10"/>
      <c r="E961" s="3"/>
      <c r="F961" s="4"/>
      <c r="G961" s="5"/>
    </row>
    <row r="962" ht="15.75" customHeight="1">
      <c r="A962" s="10"/>
      <c r="E962" s="3"/>
      <c r="F962" s="4"/>
      <c r="G962" s="5"/>
    </row>
    <row r="963" ht="15.75" customHeight="1">
      <c r="A963" s="10"/>
      <c r="E963" s="3"/>
      <c r="F963" s="4"/>
      <c r="G963" s="5"/>
    </row>
    <row r="964" ht="15.75" customHeight="1">
      <c r="A964" s="10"/>
      <c r="E964" s="3"/>
      <c r="F964" s="4"/>
      <c r="G964" s="5"/>
    </row>
    <row r="965" ht="15.75" customHeight="1">
      <c r="A965" s="10"/>
      <c r="E965" s="3"/>
      <c r="F965" s="4"/>
      <c r="G965" s="5"/>
    </row>
    <row r="966" ht="15.75" customHeight="1">
      <c r="A966" s="10"/>
      <c r="E966" s="3"/>
      <c r="F966" s="4"/>
      <c r="G966" s="5"/>
    </row>
    <row r="967" ht="15.75" customHeight="1">
      <c r="A967" s="10"/>
      <c r="E967" s="3"/>
      <c r="F967" s="4"/>
      <c r="G967" s="5"/>
    </row>
    <row r="968" ht="15.75" customHeight="1">
      <c r="A968" s="10"/>
      <c r="E968" s="3"/>
      <c r="F968" s="4"/>
      <c r="G968" s="5"/>
    </row>
    <row r="969" ht="15.75" customHeight="1">
      <c r="A969" s="10"/>
      <c r="E969" s="3"/>
      <c r="F969" s="4"/>
      <c r="G969" s="5"/>
    </row>
    <row r="970" ht="15.75" customHeight="1">
      <c r="A970" s="10"/>
      <c r="E970" s="3"/>
      <c r="F970" s="4"/>
      <c r="G970" s="5"/>
    </row>
    <row r="971" ht="15.75" customHeight="1">
      <c r="A971" s="10"/>
      <c r="E971" s="3"/>
      <c r="F971" s="4"/>
      <c r="G971" s="5"/>
    </row>
    <row r="972" ht="15.75" customHeight="1">
      <c r="A972" s="10"/>
      <c r="E972" s="3"/>
      <c r="F972" s="4"/>
      <c r="G972" s="5"/>
    </row>
    <row r="973" ht="15.75" customHeight="1">
      <c r="A973" s="10"/>
      <c r="E973" s="3"/>
      <c r="F973" s="4"/>
      <c r="G973" s="5"/>
    </row>
    <row r="974" ht="15.75" customHeight="1">
      <c r="A974" s="10"/>
      <c r="E974" s="3"/>
      <c r="F974" s="4"/>
      <c r="G974" s="5"/>
    </row>
    <row r="975" ht="15.75" customHeight="1">
      <c r="A975" s="10"/>
      <c r="E975" s="3"/>
      <c r="F975" s="4"/>
      <c r="G975" s="5"/>
    </row>
    <row r="976" ht="15.75" customHeight="1">
      <c r="A976" s="10"/>
      <c r="E976" s="3"/>
      <c r="F976" s="4"/>
      <c r="G976" s="5"/>
    </row>
    <row r="977" ht="15.75" customHeight="1">
      <c r="A977" s="10"/>
      <c r="E977" s="3"/>
      <c r="F977" s="4"/>
      <c r="G977" s="5"/>
    </row>
    <row r="978" ht="15.75" customHeight="1">
      <c r="A978" s="10"/>
      <c r="E978" s="3"/>
      <c r="F978" s="4"/>
      <c r="G978" s="5"/>
    </row>
    <row r="979" ht="15.75" customHeight="1">
      <c r="A979" s="10"/>
      <c r="E979" s="3"/>
      <c r="F979" s="4"/>
      <c r="G979" s="5"/>
    </row>
    <row r="980" ht="15.75" customHeight="1">
      <c r="A980" s="10"/>
      <c r="E980" s="3"/>
      <c r="F980" s="4"/>
      <c r="G980" s="5"/>
    </row>
    <row r="981" ht="15.75" customHeight="1">
      <c r="A981" s="10"/>
      <c r="E981" s="3"/>
      <c r="F981" s="4"/>
      <c r="G981" s="5"/>
    </row>
    <row r="982" ht="15.75" customHeight="1">
      <c r="A982" s="10"/>
      <c r="E982" s="3"/>
      <c r="F982" s="4"/>
      <c r="G982" s="5"/>
    </row>
    <row r="983" ht="15.75" customHeight="1">
      <c r="A983" s="10"/>
      <c r="E983" s="3"/>
      <c r="F983" s="4"/>
      <c r="G983" s="5"/>
    </row>
    <row r="984" ht="15.75" customHeight="1">
      <c r="A984" s="10"/>
      <c r="E984" s="3"/>
      <c r="F984" s="4"/>
      <c r="G984" s="5"/>
    </row>
    <row r="985" ht="15.75" customHeight="1">
      <c r="A985" s="10"/>
      <c r="E985" s="3"/>
      <c r="F985" s="4"/>
      <c r="G985" s="5"/>
    </row>
    <row r="986" ht="15.75" customHeight="1">
      <c r="A986" s="10"/>
      <c r="E986" s="3"/>
      <c r="F986" s="4"/>
      <c r="G986" s="5"/>
    </row>
    <row r="987" ht="15.75" customHeight="1">
      <c r="A987" s="10"/>
      <c r="E987" s="3"/>
      <c r="F987" s="4"/>
      <c r="G987" s="5"/>
    </row>
    <row r="988" ht="15.75" customHeight="1">
      <c r="A988" s="10"/>
      <c r="E988" s="3"/>
      <c r="F988" s="4"/>
      <c r="G988" s="5"/>
    </row>
    <row r="989" ht="15.75" customHeight="1">
      <c r="A989" s="10"/>
      <c r="E989" s="3"/>
      <c r="F989" s="4"/>
      <c r="G989" s="5"/>
    </row>
    <row r="990" ht="15.75" customHeight="1">
      <c r="A990" s="10"/>
      <c r="E990" s="3"/>
      <c r="F990" s="4"/>
      <c r="G990" s="5"/>
    </row>
    <row r="991" ht="15.75" customHeight="1">
      <c r="A991" s="10"/>
      <c r="E991" s="3"/>
      <c r="F991" s="4"/>
      <c r="G991" s="5"/>
    </row>
    <row r="992" ht="15.75" customHeight="1">
      <c r="A992" s="10"/>
      <c r="E992" s="3"/>
      <c r="F992" s="4"/>
      <c r="G992" s="5"/>
    </row>
    <row r="993" ht="15.75" customHeight="1">
      <c r="A993" s="10"/>
      <c r="E993" s="3"/>
      <c r="F993" s="4"/>
      <c r="G993" s="5"/>
    </row>
    <row r="994" ht="15.75" customHeight="1">
      <c r="A994" s="10"/>
      <c r="E994" s="3"/>
      <c r="F994" s="4"/>
      <c r="G994" s="5"/>
    </row>
    <row r="995" ht="15.75" customHeight="1">
      <c r="A995" s="10"/>
      <c r="E995" s="3"/>
      <c r="F995" s="4"/>
      <c r="G995" s="5"/>
    </row>
    <row r="996" ht="15.75" customHeight="1">
      <c r="A996" s="10"/>
      <c r="E996" s="3"/>
      <c r="F996" s="4"/>
      <c r="G996" s="5"/>
    </row>
    <row r="997" ht="15.75" customHeight="1">
      <c r="A997" s="10"/>
      <c r="E997" s="3"/>
      <c r="F997" s="4"/>
      <c r="G997" s="5"/>
    </row>
    <row r="998" ht="15.75" customHeight="1">
      <c r="A998" s="10"/>
      <c r="E998" s="3"/>
      <c r="F998" s="4"/>
      <c r="G998" s="5"/>
    </row>
    <row r="999" ht="15.75" customHeight="1">
      <c r="A999" s="10"/>
      <c r="E999" s="3"/>
      <c r="F999" s="4"/>
      <c r="G999" s="5"/>
    </row>
    <row r="1000" ht="15.75" customHeight="1">
      <c r="A1000" s="10"/>
      <c r="E1000" s="3"/>
      <c r="F1000" s="4"/>
      <c r="G1000" s="5"/>
    </row>
    <row r="1001" ht="15.75" customHeight="1">
      <c r="A1001" s="10"/>
      <c r="E1001" s="3"/>
      <c r="F1001" s="4"/>
      <c r="G1001" s="5"/>
    </row>
  </sheetData>
  <mergeCells count="1">
    <mergeCell ref="B2:H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3" max="3" width="29.25"/>
    <col customWidth="1" min="4" max="4" width="16.0"/>
    <col customWidth="1" min="5" max="5" width="14.75"/>
    <col customWidth="1" min="6" max="6" width="14.13"/>
    <col customWidth="1" min="8" max="8" width="13.88"/>
    <col customWidth="1" min="9" max="9" width="14.13"/>
    <col customWidth="1" min="11" max="11" width="16.75"/>
    <col customWidth="1" min="12" max="12" width="24.63"/>
  </cols>
  <sheetData>
    <row r="1">
      <c r="A1" s="122"/>
      <c r="B1" s="122"/>
      <c r="C1" s="122"/>
      <c r="D1" s="122"/>
      <c r="E1" s="122"/>
      <c r="F1" s="123"/>
      <c r="G1" s="123"/>
      <c r="H1" s="123"/>
      <c r="I1" s="123"/>
      <c r="J1" s="123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</row>
    <row r="2">
      <c r="A2" s="124" t="s">
        <v>990</v>
      </c>
      <c r="B2" s="8"/>
      <c r="C2" s="8"/>
      <c r="D2" s="8"/>
      <c r="E2" s="8"/>
      <c r="F2" s="8"/>
      <c r="G2" s="8"/>
      <c r="H2" s="8"/>
      <c r="I2" s="8"/>
      <c r="J2" s="8"/>
      <c r="K2" s="9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</row>
    <row r="3">
      <c r="A3" s="122"/>
      <c r="B3" s="122"/>
      <c r="C3" s="122"/>
      <c r="D3" s="122"/>
      <c r="E3" s="122"/>
      <c r="F3" s="123"/>
      <c r="G3" s="123"/>
      <c r="H3" s="123"/>
      <c r="I3" s="123"/>
      <c r="J3" s="123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</row>
    <row r="4">
      <c r="A4" s="122"/>
      <c r="B4" s="122"/>
      <c r="C4" s="122"/>
      <c r="D4" s="122"/>
      <c r="E4" s="122"/>
      <c r="F4" s="123"/>
      <c r="G4" s="123"/>
      <c r="H4" s="123"/>
      <c r="I4" s="123"/>
      <c r="J4" s="123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</row>
    <row r="5">
      <c r="A5" s="125" t="s">
        <v>991</v>
      </c>
      <c r="B5" s="125" t="s">
        <v>992</v>
      </c>
      <c r="C5" s="125" t="s">
        <v>993</v>
      </c>
      <c r="D5" s="125" t="s">
        <v>1</v>
      </c>
      <c r="E5" s="125" t="s">
        <v>994</v>
      </c>
      <c r="F5" s="126" t="s">
        <v>995</v>
      </c>
      <c r="G5" s="126" t="s">
        <v>996</v>
      </c>
      <c r="H5" s="125" t="s">
        <v>997</v>
      </c>
      <c r="I5" s="125" t="s">
        <v>998</v>
      </c>
      <c r="J5" s="127">
        <v>0.5</v>
      </c>
      <c r="K5" s="125" t="s">
        <v>999</v>
      </c>
      <c r="L5" s="128" t="s">
        <v>7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</row>
    <row r="6">
      <c r="A6" s="129">
        <v>45744.0</v>
      </c>
      <c r="B6" s="130">
        <v>4.391623054E9</v>
      </c>
      <c r="C6" s="131" t="s">
        <v>1000</v>
      </c>
      <c r="D6" s="132" t="s">
        <v>425</v>
      </c>
      <c r="E6" s="132" t="s">
        <v>10</v>
      </c>
      <c r="F6" s="133">
        <v>2328.32</v>
      </c>
      <c r="G6" s="133">
        <v>488.95</v>
      </c>
      <c r="H6" s="134">
        <f t="shared" ref="H6:H89" si="1">F6-G6</f>
        <v>1839.37</v>
      </c>
      <c r="I6" s="135">
        <f t="shared" ref="I6:I11" si="2">H6</f>
        <v>1839.37</v>
      </c>
      <c r="J6" s="134">
        <v>1164.16</v>
      </c>
      <c r="K6" s="131" t="s">
        <v>1001</v>
      </c>
      <c r="L6" s="136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</row>
    <row r="7">
      <c r="A7" s="137">
        <v>45751.0</v>
      </c>
      <c r="B7" s="130">
        <v>4.909122311E9</v>
      </c>
      <c r="C7" s="131" t="s">
        <v>1002</v>
      </c>
      <c r="D7" s="131" t="s">
        <v>385</v>
      </c>
      <c r="E7" s="131" t="s">
        <v>23</v>
      </c>
      <c r="F7" s="134">
        <v>1595.28</v>
      </c>
      <c r="G7" s="134">
        <v>335.01</v>
      </c>
      <c r="H7" s="134">
        <f t="shared" si="1"/>
        <v>1260.27</v>
      </c>
      <c r="I7" s="135">
        <f t="shared" si="2"/>
        <v>1260.27</v>
      </c>
      <c r="J7" s="134">
        <v>797.64</v>
      </c>
      <c r="K7" s="131" t="s">
        <v>1003</v>
      </c>
      <c r="L7" s="136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</row>
    <row r="8">
      <c r="A8" s="137">
        <v>45761.0</v>
      </c>
      <c r="B8" s="130">
        <v>4.458414844E9</v>
      </c>
      <c r="C8" s="131" t="s">
        <v>1004</v>
      </c>
      <c r="D8" s="131" t="s">
        <v>425</v>
      </c>
      <c r="E8" s="131" t="s">
        <v>27</v>
      </c>
      <c r="F8" s="134">
        <v>2876.4</v>
      </c>
      <c r="G8" s="134">
        <v>604.04</v>
      </c>
      <c r="H8" s="134">
        <f t="shared" si="1"/>
        <v>2272.36</v>
      </c>
      <c r="I8" s="135">
        <f t="shared" si="2"/>
        <v>2272.36</v>
      </c>
      <c r="J8" s="134">
        <v>1438.2</v>
      </c>
      <c r="K8" s="131" t="s">
        <v>1005</v>
      </c>
      <c r="L8" s="136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</row>
    <row r="9">
      <c r="A9" s="137">
        <v>45779.0</v>
      </c>
      <c r="B9" s="130">
        <v>4.812086935E9</v>
      </c>
      <c r="C9" s="131" t="s">
        <v>1006</v>
      </c>
      <c r="D9" s="131" t="s">
        <v>1007</v>
      </c>
      <c r="E9" s="131" t="s">
        <v>20</v>
      </c>
      <c r="F9" s="134">
        <v>399.2</v>
      </c>
      <c r="G9" s="134">
        <v>83.83</v>
      </c>
      <c r="H9" s="134">
        <f t="shared" si="1"/>
        <v>315.37</v>
      </c>
      <c r="I9" s="135">
        <f t="shared" si="2"/>
        <v>315.37</v>
      </c>
      <c r="J9" s="134">
        <v>199.6</v>
      </c>
      <c r="K9" s="131" t="s">
        <v>1008</v>
      </c>
      <c r="L9" s="136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</row>
    <row r="10">
      <c r="A10" s="137">
        <v>45788.0</v>
      </c>
      <c r="B10" s="130">
        <v>4.85311286E9</v>
      </c>
      <c r="C10" s="131" t="s">
        <v>1009</v>
      </c>
      <c r="D10" s="131" t="s">
        <v>177</v>
      </c>
      <c r="E10" s="131" t="s">
        <v>50</v>
      </c>
      <c r="F10" s="134">
        <v>1153.83</v>
      </c>
      <c r="G10" s="134">
        <v>242.3</v>
      </c>
      <c r="H10" s="134">
        <f t="shared" si="1"/>
        <v>911.53</v>
      </c>
      <c r="I10" s="135">
        <f t="shared" si="2"/>
        <v>911.53</v>
      </c>
      <c r="J10" s="134">
        <v>576.91</v>
      </c>
      <c r="K10" s="131" t="s">
        <v>1010</v>
      </c>
      <c r="L10" s="136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</row>
    <row r="11">
      <c r="A11" s="137">
        <v>45794.0</v>
      </c>
      <c r="B11" s="130">
        <v>4.403194908E9</v>
      </c>
      <c r="C11" s="131" t="s">
        <v>1011</v>
      </c>
      <c r="D11" s="131" t="s">
        <v>1012</v>
      </c>
      <c r="E11" s="131" t="s">
        <v>23</v>
      </c>
      <c r="F11" s="134">
        <v>1296.08</v>
      </c>
      <c r="G11" s="134">
        <v>272.18</v>
      </c>
      <c r="H11" s="134">
        <f t="shared" si="1"/>
        <v>1023.9</v>
      </c>
      <c r="I11" s="135">
        <f t="shared" si="2"/>
        <v>1023.9</v>
      </c>
      <c r="J11" s="134">
        <v>648.04</v>
      </c>
      <c r="K11" s="131" t="s">
        <v>1013</v>
      </c>
      <c r="L11" s="136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</row>
    <row r="12">
      <c r="A12" s="138">
        <v>45794.0</v>
      </c>
      <c r="B12" s="139">
        <v>4.403194908E9</v>
      </c>
      <c r="C12" s="140" t="s">
        <v>1011</v>
      </c>
      <c r="D12" s="140" t="s">
        <v>1012</v>
      </c>
      <c r="E12" s="140" t="s">
        <v>31</v>
      </c>
      <c r="F12" s="141">
        <v>1296.08</v>
      </c>
      <c r="G12" s="141">
        <v>272.18</v>
      </c>
      <c r="H12" s="141">
        <f t="shared" si="1"/>
        <v>1023.9</v>
      </c>
      <c r="I12" s="135"/>
      <c r="J12" s="141">
        <v>648.04</v>
      </c>
      <c r="K12" s="140" t="s">
        <v>1013</v>
      </c>
      <c r="L12" s="140" t="s">
        <v>1014</v>
      </c>
      <c r="M12" s="142" t="s">
        <v>932</v>
      </c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>
      <c r="A13" s="137">
        <v>45794.0</v>
      </c>
      <c r="B13" s="130">
        <v>4.403194908E9</v>
      </c>
      <c r="C13" s="131" t="s">
        <v>1011</v>
      </c>
      <c r="D13" s="131" t="s">
        <v>1012</v>
      </c>
      <c r="E13" s="131" t="s">
        <v>10</v>
      </c>
      <c r="F13" s="134">
        <v>1491.24</v>
      </c>
      <c r="G13" s="134">
        <v>313.16</v>
      </c>
      <c r="H13" s="134">
        <f t="shared" si="1"/>
        <v>1178.08</v>
      </c>
      <c r="I13" s="135">
        <f t="shared" ref="I13:I17" si="3">H13</f>
        <v>1178.08</v>
      </c>
      <c r="J13" s="134">
        <v>745.62</v>
      </c>
      <c r="K13" s="131" t="s">
        <v>1013</v>
      </c>
      <c r="L13" s="136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>
      <c r="A14" s="137">
        <v>45813.0</v>
      </c>
      <c r="B14" s="130">
        <v>6.167299576E9</v>
      </c>
      <c r="C14" s="131" t="s">
        <v>1015</v>
      </c>
      <c r="D14" s="131" t="s">
        <v>1016</v>
      </c>
      <c r="E14" s="131" t="s">
        <v>31</v>
      </c>
      <c r="F14" s="134">
        <v>5483.52</v>
      </c>
      <c r="G14" s="134">
        <v>1151.54</v>
      </c>
      <c r="H14" s="134">
        <f t="shared" si="1"/>
        <v>4331.98</v>
      </c>
      <c r="I14" s="135">
        <f t="shared" si="3"/>
        <v>4331.98</v>
      </c>
      <c r="J14" s="134">
        <v>2741.76</v>
      </c>
      <c r="K14" s="131" t="s">
        <v>1017</v>
      </c>
      <c r="L14" s="136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</row>
    <row r="15">
      <c r="A15" s="137">
        <v>45814.0</v>
      </c>
      <c r="B15" s="130">
        <v>5.419470102E9</v>
      </c>
      <c r="C15" s="131" t="s">
        <v>1018</v>
      </c>
      <c r="D15" s="131" t="s">
        <v>1019</v>
      </c>
      <c r="E15" s="131" t="s">
        <v>31</v>
      </c>
      <c r="F15" s="134">
        <v>884.91</v>
      </c>
      <c r="G15" s="134">
        <v>185.83</v>
      </c>
      <c r="H15" s="134">
        <f t="shared" si="1"/>
        <v>699.08</v>
      </c>
      <c r="I15" s="135">
        <f t="shared" si="3"/>
        <v>699.08</v>
      </c>
      <c r="J15" s="134">
        <v>885.0</v>
      </c>
      <c r="K15" s="131" t="s">
        <v>1020</v>
      </c>
      <c r="L15" s="136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</row>
    <row r="16">
      <c r="A16" s="137">
        <v>45833.0</v>
      </c>
      <c r="B16" s="143">
        <v>6.143273473E9</v>
      </c>
      <c r="C16" s="131" t="s">
        <v>1021</v>
      </c>
      <c r="D16" s="131" t="s">
        <v>1022</v>
      </c>
      <c r="E16" s="131" t="s">
        <v>23</v>
      </c>
      <c r="F16" s="134">
        <v>1274.92</v>
      </c>
      <c r="G16" s="134">
        <v>267.73</v>
      </c>
      <c r="H16" s="134">
        <f t="shared" si="1"/>
        <v>1007.19</v>
      </c>
      <c r="I16" s="135">
        <f t="shared" si="3"/>
        <v>1007.19</v>
      </c>
      <c r="J16" s="134">
        <v>637.46</v>
      </c>
      <c r="K16" s="131" t="s">
        <v>1023</v>
      </c>
      <c r="L16" s="136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</row>
    <row r="17">
      <c r="A17" s="137">
        <v>45833.0</v>
      </c>
      <c r="B17" s="143">
        <v>6.143273473E9</v>
      </c>
      <c r="C17" s="131" t="s">
        <v>1021</v>
      </c>
      <c r="D17" s="131" t="s">
        <v>1022</v>
      </c>
      <c r="E17" s="131" t="s">
        <v>31</v>
      </c>
      <c r="F17" s="134">
        <v>1274.92</v>
      </c>
      <c r="G17" s="134">
        <v>267.73</v>
      </c>
      <c r="H17" s="134">
        <f t="shared" si="1"/>
        <v>1007.19</v>
      </c>
      <c r="I17" s="135">
        <f t="shared" si="3"/>
        <v>1007.19</v>
      </c>
      <c r="J17" s="134">
        <v>637.46</v>
      </c>
      <c r="K17" s="131" t="s">
        <v>1023</v>
      </c>
      <c r="L17" s="136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</row>
    <row r="18">
      <c r="A18" s="144">
        <v>45852.0</v>
      </c>
      <c r="B18" s="145">
        <v>5.921666448E9</v>
      </c>
      <c r="C18" s="146" t="s">
        <v>1024</v>
      </c>
      <c r="D18" s="147" t="s">
        <v>1025</v>
      </c>
      <c r="E18" s="147" t="s">
        <v>31</v>
      </c>
      <c r="F18" s="148">
        <v>735.12</v>
      </c>
      <c r="G18" s="148">
        <v>154.38</v>
      </c>
      <c r="H18" s="141">
        <f t="shared" si="1"/>
        <v>580.74</v>
      </c>
      <c r="I18" s="135"/>
      <c r="J18" s="148" t="s">
        <v>32</v>
      </c>
      <c r="K18" s="147" t="s">
        <v>1026</v>
      </c>
      <c r="L18" s="147" t="s">
        <v>1027</v>
      </c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</row>
    <row r="19">
      <c r="A19" s="137">
        <v>45859.0</v>
      </c>
      <c r="B19" s="149">
        <v>5.948025543E9</v>
      </c>
      <c r="C19" s="150" t="s">
        <v>1028</v>
      </c>
      <c r="D19" s="131" t="s">
        <v>1029</v>
      </c>
      <c r="E19" s="131" t="s">
        <v>50</v>
      </c>
      <c r="F19" s="134">
        <v>3905.1</v>
      </c>
      <c r="G19" s="134">
        <v>820.07</v>
      </c>
      <c r="H19" s="151">
        <f t="shared" si="1"/>
        <v>3085.03</v>
      </c>
      <c r="I19" s="135">
        <f>H19</f>
        <v>3085.03</v>
      </c>
      <c r="J19" s="134">
        <v>1952.55</v>
      </c>
      <c r="K19" s="131" t="s">
        <v>1030</v>
      </c>
      <c r="L19" s="136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>
      <c r="A20" s="138">
        <v>45860.0</v>
      </c>
      <c r="B20" s="152">
        <v>5.464787043E9</v>
      </c>
      <c r="C20" s="146" t="s">
        <v>1031</v>
      </c>
      <c r="D20" s="140" t="s">
        <v>1032</v>
      </c>
      <c r="E20" s="140" t="s">
        <v>31</v>
      </c>
      <c r="F20" s="141">
        <v>1894.38</v>
      </c>
      <c r="G20" s="141">
        <v>397.82</v>
      </c>
      <c r="H20" s="141">
        <f t="shared" si="1"/>
        <v>1496.56</v>
      </c>
      <c r="I20" s="135"/>
      <c r="J20" s="141">
        <v>947.19</v>
      </c>
      <c r="K20" s="140" t="s">
        <v>1033</v>
      </c>
      <c r="L20" s="140" t="s">
        <v>1034</v>
      </c>
      <c r="M20" s="142" t="s">
        <v>1035</v>
      </c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</row>
    <row r="21">
      <c r="A21" s="138">
        <v>45860.0</v>
      </c>
      <c r="B21" s="152">
        <v>5.464787043E9</v>
      </c>
      <c r="C21" s="146" t="s">
        <v>1031</v>
      </c>
      <c r="D21" s="140" t="s">
        <v>1032</v>
      </c>
      <c r="E21" s="140" t="s">
        <v>23</v>
      </c>
      <c r="F21" s="141">
        <v>1894.38</v>
      </c>
      <c r="G21" s="141">
        <v>397.82</v>
      </c>
      <c r="H21" s="141">
        <f t="shared" si="1"/>
        <v>1496.56</v>
      </c>
      <c r="I21" s="135"/>
      <c r="J21" s="141">
        <v>947.19</v>
      </c>
      <c r="K21" s="140" t="s">
        <v>1033</v>
      </c>
      <c r="L21" s="140" t="s">
        <v>1034</v>
      </c>
      <c r="M21" s="142" t="s">
        <v>1035</v>
      </c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>
      <c r="A22" s="138">
        <v>45860.0</v>
      </c>
      <c r="B22" s="152">
        <v>5.464787043E9</v>
      </c>
      <c r="C22" s="146" t="s">
        <v>1031</v>
      </c>
      <c r="D22" s="140" t="s">
        <v>1032</v>
      </c>
      <c r="E22" s="140" t="s">
        <v>50</v>
      </c>
      <c r="F22" s="141">
        <v>2154.51</v>
      </c>
      <c r="G22" s="141">
        <v>452.45</v>
      </c>
      <c r="H22" s="141">
        <f t="shared" si="1"/>
        <v>1702.06</v>
      </c>
      <c r="I22" s="135"/>
      <c r="J22" s="141">
        <v>1077.25</v>
      </c>
      <c r="K22" s="140" t="s">
        <v>1033</v>
      </c>
      <c r="L22" s="140" t="s">
        <v>1034</v>
      </c>
      <c r="M22" s="142" t="s">
        <v>1035</v>
      </c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</row>
    <row r="23">
      <c r="A23" s="137">
        <v>45860.0</v>
      </c>
      <c r="B23" s="143">
        <v>5.82849364E9</v>
      </c>
      <c r="C23" s="153" t="s">
        <v>1036</v>
      </c>
      <c r="D23" s="131" t="s">
        <v>1037</v>
      </c>
      <c r="E23" s="131" t="s">
        <v>113</v>
      </c>
      <c r="F23" s="134">
        <v>2990.4</v>
      </c>
      <c r="G23" s="134">
        <v>627.98</v>
      </c>
      <c r="H23" s="134">
        <f t="shared" si="1"/>
        <v>2362.42</v>
      </c>
      <c r="I23" s="135">
        <f>H23</f>
        <v>2362.42</v>
      </c>
      <c r="J23" s="134">
        <v>1495.2</v>
      </c>
      <c r="K23" s="131" t="s">
        <v>1033</v>
      </c>
      <c r="L23" s="136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</row>
    <row r="24">
      <c r="A24" s="138">
        <v>45865.0</v>
      </c>
      <c r="B24" s="152">
        <v>6.046499848E9</v>
      </c>
      <c r="C24" s="146" t="s">
        <v>1038</v>
      </c>
      <c r="D24" s="140" t="s">
        <v>1039</v>
      </c>
      <c r="E24" s="140" t="s">
        <v>175</v>
      </c>
      <c r="F24" s="141">
        <v>5548.8</v>
      </c>
      <c r="G24" s="141">
        <v>1165.25</v>
      </c>
      <c r="H24" s="141">
        <f t="shared" si="1"/>
        <v>4383.55</v>
      </c>
      <c r="I24" s="135"/>
      <c r="J24" s="141">
        <v>2774.4</v>
      </c>
      <c r="K24" s="140" t="s">
        <v>32</v>
      </c>
      <c r="L24" s="147" t="s">
        <v>1040</v>
      </c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</row>
    <row r="25">
      <c r="A25" s="138">
        <v>45866.0</v>
      </c>
      <c r="B25" s="152">
        <v>6.528330819E9</v>
      </c>
      <c r="C25" s="146" t="s">
        <v>1041</v>
      </c>
      <c r="D25" s="140" t="s">
        <v>1042</v>
      </c>
      <c r="E25" s="140" t="s">
        <v>175</v>
      </c>
      <c r="F25" s="141">
        <v>4410.48</v>
      </c>
      <c r="G25" s="141">
        <v>926.2</v>
      </c>
      <c r="H25" s="141">
        <f t="shared" si="1"/>
        <v>3484.28</v>
      </c>
      <c r="I25" s="135"/>
      <c r="J25" s="141">
        <v>2205.24</v>
      </c>
      <c r="K25" s="140" t="s">
        <v>1033</v>
      </c>
      <c r="L25" s="140" t="s">
        <v>1043</v>
      </c>
      <c r="M25" s="154" t="s">
        <v>1044</v>
      </c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</row>
    <row r="26">
      <c r="A26" s="137">
        <v>45872.0</v>
      </c>
      <c r="B26" s="143">
        <v>6.101177578E9</v>
      </c>
      <c r="C26" s="153" t="s">
        <v>544</v>
      </c>
      <c r="D26" s="131" t="s">
        <v>1045</v>
      </c>
      <c r="E26" s="131" t="s">
        <v>128</v>
      </c>
      <c r="F26" s="134">
        <v>7169.37</v>
      </c>
      <c r="G26" s="134">
        <v>1505.57</v>
      </c>
      <c r="H26" s="134">
        <f t="shared" si="1"/>
        <v>5663.8</v>
      </c>
      <c r="I26" s="135">
        <f>H26</f>
        <v>5663.8</v>
      </c>
      <c r="J26" s="134">
        <v>3584.68</v>
      </c>
      <c r="K26" s="131" t="s">
        <v>1033</v>
      </c>
      <c r="L26" s="136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</row>
    <row r="27">
      <c r="A27" s="144">
        <v>45877.0</v>
      </c>
      <c r="B27" s="145">
        <v>6.663313627E9</v>
      </c>
      <c r="C27" s="146" t="s">
        <v>1046</v>
      </c>
      <c r="D27" s="147" t="s">
        <v>1047</v>
      </c>
      <c r="E27" s="147" t="s">
        <v>175</v>
      </c>
      <c r="F27" s="148">
        <v>319.2</v>
      </c>
      <c r="G27" s="148">
        <v>67.03</v>
      </c>
      <c r="H27" s="141">
        <f t="shared" si="1"/>
        <v>252.17</v>
      </c>
      <c r="I27" s="135"/>
      <c r="J27" s="148" t="s">
        <v>32</v>
      </c>
      <c r="K27" s="147" t="s">
        <v>1048</v>
      </c>
      <c r="L27" s="147" t="s">
        <v>1027</v>
      </c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</row>
    <row r="28">
      <c r="A28" s="156">
        <v>45877.0</v>
      </c>
      <c r="B28" s="157">
        <v>5.543542214E9</v>
      </c>
      <c r="C28" s="158" t="s">
        <v>1049</v>
      </c>
      <c r="D28" s="158" t="s">
        <v>1050</v>
      </c>
      <c r="E28" s="158" t="s">
        <v>128</v>
      </c>
      <c r="F28" s="159">
        <v>898.2</v>
      </c>
      <c r="G28" s="159">
        <v>188.62</v>
      </c>
      <c r="H28" s="160">
        <f t="shared" si="1"/>
        <v>709.58</v>
      </c>
      <c r="I28" s="135">
        <f t="shared" ref="I28:I29" si="4">H28</f>
        <v>709.58</v>
      </c>
      <c r="J28" s="159">
        <v>449.1</v>
      </c>
      <c r="K28" s="158" t="s">
        <v>1051</v>
      </c>
      <c r="L28" s="161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</row>
    <row r="29">
      <c r="A29" s="137">
        <v>45884.0</v>
      </c>
      <c r="B29" s="143">
        <v>6.524992422E9</v>
      </c>
      <c r="C29" s="153" t="s">
        <v>1052</v>
      </c>
      <c r="D29" s="131" t="s">
        <v>1053</v>
      </c>
      <c r="E29" s="131" t="s">
        <v>50</v>
      </c>
      <c r="F29" s="134">
        <v>6787.76</v>
      </c>
      <c r="G29" s="134">
        <v>1425.43</v>
      </c>
      <c r="H29" s="134">
        <f t="shared" si="1"/>
        <v>5362.33</v>
      </c>
      <c r="I29" s="135">
        <f t="shared" si="4"/>
        <v>5362.33</v>
      </c>
      <c r="J29" s="134">
        <v>3393.88</v>
      </c>
      <c r="K29" s="131" t="s">
        <v>1054</v>
      </c>
      <c r="L29" s="136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>
      <c r="A30" s="138">
        <v>45886.0</v>
      </c>
      <c r="B30" s="152">
        <v>5.576188433E9</v>
      </c>
      <c r="C30" s="146" t="s">
        <v>1055</v>
      </c>
      <c r="D30" s="140" t="s">
        <v>1056</v>
      </c>
      <c r="E30" s="140" t="s">
        <v>113</v>
      </c>
      <c r="F30" s="141">
        <v>6770.25</v>
      </c>
      <c r="G30" s="141">
        <v>1421.75</v>
      </c>
      <c r="H30" s="141">
        <f t="shared" si="1"/>
        <v>5348.5</v>
      </c>
      <c r="I30" s="135"/>
      <c r="J30" s="141">
        <v>3385.12</v>
      </c>
      <c r="K30" s="140" t="s">
        <v>1057</v>
      </c>
      <c r="L30" s="140" t="s">
        <v>1058</v>
      </c>
      <c r="M30" s="142" t="s">
        <v>1059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</row>
    <row r="31">
      <c r="A31" s="137">
        <v>45890.0</v>
      </c>
      <c r="B31" s="143">
        <v>6.760932714E9</v>
      </c>
      <c r="C31" s="153" t="s">
        <v>1060</v>
      </c>
      <c r="D31" s="131" t="s">
        <v>1061</v>
      </c>
      <c r="E31" s="131" t="s">
        <v>113</v>
      </c>
      <c r="F31" s="134">
        <v>3384.36</v>
      </c>
      <c r="G31" s="134">
        <v>710.72</v>
      </c>
      <c r="H31" s="134">
        <f t="shared" si="1"/>
        <v>2673.64</v>
      </c>
      <c r="I31" s="135">
        <f>H31</f>
        <v>2673.64</v>
      </c>
      <c r="J31" s="134">
        <v>1692.0</v>
      </c>
      <c r="K31" s="131" t="s">
        <v>1062</v>
      </c>
      <c r="L31" s="136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</row>
    <row r="32">
      <c r="A32" s="138">
        <v>45892.0</v>
      </c>
      <c r="B32" s="152">
        <v>6.790263261E9</v>
      </c>
      <c r="C32" s="146" t="s">
        <v>1063</v>
      </c>
      <c r="D32" s="140" t="s">
        <v>643</v>
      </c>
      <c r="E32" s="140" t="s">
        <v>113</v>
      </c>
      <c r="F32" s="141">
        <v>5122.8</v>
      </c>
      <c r="G32" s="141">
        <v>1075.79</v>
      </c>
      <c r="H32" s="141">
        <f t="shared" si="1"/>
        <v>4047.01</v>
      </c>
      <c r="I32" s="135"/>
      <c r="J32" s="141">
        <v>2561.4</v>
      </c>
      <c r="K32" s="140" t="s">
        <v>1064</v>
      </c>
      <c r="L32" s="140" t="s">
        <v>1065</v>
      </c>
      <c r="M32" s="16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</row>
    <row r="33">
      <c r="A33" s="138">
        <v>45892.0</v>
      </c>
      <c r="B33" s="152">
        <v>6.790263261E9</v>
      </c>
      <c r="C33" s="146" t="s">
        <v>1063</v>
      </c>
      <c r="D33" s="140" t="s">
        <v>643</v>
      </c>
      <c r="E33" s="140" t="s">
        <v>50</v>
      </c>
      <c r="F33" s="141">
        <v>4582.8</v>
      </c>
      <c r="G33" s="141">
        <v>962.39</v>
      </c>
      <c r="H33" s="141">
        <f t="shared" si="1"/>
        <v>3620.41</v>
      </c>
      <c r="I33" s="135"/>
      <c r="J33" s="141">
        <v>2291.4</v>
      </c>
      <c r="K33" s="140" t="s">
        <v>1064</v>
      </c>
      <c r="L33" s="140" t="s">
        <v>1065</v>
      </c>
      <c r="M33" s="16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>
      <c r="A34" s="137">
        <v>45901.0</v>
      </c>
      <c r="B34" s="143">
        <v>6.277107635E9</v>
      </c>
      <c r="C34" s="153" t="s">
        <v>1066</v>
      </c>
      <c r="D34" s="131" t="s">
        <v>1067</v>
      </c>
      <c r="E34" s="131" t="s">
        <v>113</v>
      </c>
      <c r="F34" s="134">
        <v>980.28</v>
      </c>
      <c r="G34" s="134">
        <v>205.86</v>
      </c>
      <c r="H34" s="134">
        <f t="shared" si="1"/>
        <v>774.42</v>
      </c>
      <c r="I34" s="135">
        <f t="shared" ref="I34:I38" si="5">H34</f>
        <v>774.42</v>
      </c>
      <c r="J34" s="134">
        <v>490.14</v>
      </c>
      <c r="K34" s="131" t="s">
        <v>1068</v>
      </c>
      <c r="L34" s="136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>
      <c r="A35" s="163">
        <v>45902.0</v>
      </c>
      <c r="B35" s="164">
        <v>6.274651008E9</v>
      </c>
      <c r="C35" s="165" t="s">
        <v>1069</v>
      </c>
      <c r="D35" s="166" t="s">
        <v>623</v>
      </c>
      <c r="E35" s="166" t="s">
        <v>50</v>
      </c>
      <c r="F35" s="167">
        <v>612.68</v>
      </c>
      <c r="G35" s="167">
        <v>128.66</v>
      </c>
      <c r="H35" s="167">
        <f t="shared" si="1"/>
        <v>484.02</v>
      </c>
      <c r="I35" s="135">
        <f t="shared" si="5"/>
        <v>484.02</v>
      </c>
      <c r="J35" s="167">
        <v>306.34</v>
      </c>
      <c r="K35" s="166" t="s">
        <v>1070</v>
      </c>
      <c r="L35" s="168"/>
      <c r="M35" s="142" t="s">
        <v>1071</v>
      </c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>
      <c r="A36" s="137">
        <v>45905.0</v>
      </c>
      <c r="B36" s="143">
        <v>6.044354792E9</v>
      </c>
      <c r="C36" s="153" t="s">
        <v>1072</v>
      </c>
      <c r="D36" s="131" t="s">
        <v>1073</v>
      </c>
      <c r="E36" s="131" t="s">
        <v>175</v>
      </c>
      <c r="F36" s="134">
        <v>781.17</v>
      </c>
      <c r="G36" s="134">
        <v>164.05</v>
      </c>
      <c r="H36" s="134">
        <f t="shared" si="1"/>
        <v>617.12</v>
      </c>
      <c r="I36" s="135">
        <f t="shared" si="5"/>
        <v>617.12</v>
      </c>
      <c r="J36" s="134">
        <v>390.58</v>
      </c>
      <c r="K36" s="131" t="s">
        <v>1074</v>
      </c>
      <c r="L36" s="136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>
      <c r="A37" s="137">
        <v>45905.0</v>
      </c>
      <c r="B37" s="143">
        <v>5.097089698E9</v>
      </c>
      <c r="C37" s="153" t="s">
        <v>1075</v>
      </c>
      <c r="D37" s="131" t="s">
        <v>598</v>
      </c>
      <c r="E37" s="131" t="s">
        <v>113</v>
      </c>
      <c r="F37" s="134">
        <v>576.64</v>
      </c>
      <c r="G37" s="134">
        <v>121.09</v>
      </c>
      <c r="H37" s="134">
        <f t="shared" si="1"/>
        <v>455.55</v>
      </c>
      <c r="I37" s="135">
        <f t="shared" si="5"/>
        <v>455.55</v>
      </c>
      <c r="J37" s="134">
        <v>288.32</v>
      </c>
      <c r="K37" s="131" t="s">
        <v>1070</v>
      </c>
      <c r="L37" s="136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>
      <c r="A38" s="137">
        <v>45905.0</v>
      </c>
      <c r="B38" s="143">
        <v>5.39336014E9</v>
      </c>
      <c r="C38" s="153" t="s">
        <v>1076</v>
      </c>
      <c r="D38" s="131" t="s">
        <v>1077</v>
      </c>
      <c r="E38" s="131" t="s">
        <v>128</v>
      </c>
      <c r="F38" s="134">
        <v>3342.88</v>
      </c>
      <c r="G38" s="134">
        <v>702.0</v>
      </c>
      <c r="H38" s="134">
        <f t="shared" si="1"/>
        <v>2640.88</v>
      </c>
      <c r="I38" s="135">
        <f t="shared" si="5"/>
        <v>2640.88</v>
      </c>
      <c r="J38" s="134">
        <v>1671.44</v>
      </c>
      <c r="K38" s="131" t="s">
        <v>1070</v>
      </c>
      <c r="L38" s="136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</row>
    <row r="39">
      <c r="A39" s="138">
        <v>45907.0</v>
      </c>
      <c r="B39" s="152">
        <v>5.798857288E9</v>
      </c>
      <c r="C39" s="146" t="s">
        <v>1078</v>
      </c>
      <c r="D39" s="140" t="s">
        <v>1079</v>
      </c>
      <c r="E39" s="140" t="s">
        <v>175</v>
      </c>
      <c r="F39" s="141">
        <v>3017.16</v>
      </c>
      <c r="G39" s="141">
        <v>633.6</v>
      </c>
      <c r="H39" s="141">
        <f t="shared" si="1"/>
        <v>2383.56</v>
      </c>
      <c r="I39" s="135"/>
      <c r="J39" s="141" t="s">
        <v>32</v>
      </c>
      <c r="K39" s="140" t="s">
        <v>1080</v>
      </c>
      <c r="L39" s="147" t="s">
        <v>1081</v>
      </c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</row>
    <row r="40">
      <c r="A40" s="138">
        <v>45911.0</v>
      </c>
      <c r="B40" s="152">
        <v>6.321778597E9</v>
      </c>
      <c r="C40" s="146" t="s">
        <v>1082</v>
      </c>
      <c r="D40" s="140" t="s">
        <v>1083</v>
      </c>
      <c r="E40" s="140" t="s">
        <v>20</v>
      </c>
      <c r="F40" s="141">
        <v>6072.57</v>
      </c>
      <c r="G40" s="141">
        <v>1275.24</v>
      </c>
      <c r="H40" s="141">
        <f t="shared" si="1"/>
        <v>4797.33</v>
      </c>
      <c r="I40" s="135"/>
      <c r="J40" s="141">
        <v>3036.28</v>
      </c>
      <c r="K40" s="140" t="s">
        <v>1084</v>
      </c>
      <c r="L40" s="140" t="s">
        <v>1085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>
      <c r="A41" s="137">
        <v>45918.0</v>
      </c>
      <c r="B41" s="143">
        <v>5.522951778E9</v>
      </c>
      <c r="C41" s="153" t="s">
        <v>1086</v>
      </c>
      <c r="D41" s="131" t="s">
        <v>1087</v>
      </c>
      <c r="E41" s="131" t="s">
        <v>175</v>
      </c>
      <c r="F41" s="134">
        <v>8583.6</v>
      </c>
      <c r="G41" s="134">
        <v>1804.66</v>
      </c>
      <c r="H41" s="134">
        <f t="shared" si="1"/>
        <v>6778.94</v>
      </c>
      <c r="I41" s="135">
        <f t="shared" ref="I41:I44" si="6">H41</f>
        <v>6778.94</v>
      </c>
      <c r="J41" s="134">
        <v>4296.8</v>
      </c>
      <c r="K41" s="131" t="s">
        <v>1088</v>
      </c>
      <c r="L41" s="136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</row>
    <row r="42">
      <c r="A42" s="137">
        <v>45922.0</v>
      </c>
      <c r="B42" s="143">
        <v>6.825906488E9</v>
      </c>
      <c r="C42" s="153" t="s">
        <v>1089</v>
      </c>
      <c r="D42" s="131" t="s">
        <v>1090</v>
      </c>
      <c r="E42" s="131" t="s">
        <v>113</v>
      </c>
      <c r="F42" s="134">
        <v>3459.2</v>
      </c>
      <c r="G42" s="134">
        <v>726.43</v>
      </c>
      <c r="H42" s="134">
        <f t="shared" si="1"/>
        <v>2732.77</v>
      </c>
      <c r="I42" s="135">
        <f t="shared" si="6"/>
        <v>2732.77</v>
      </c>
      <c r="J42" s="134">
        <v>1729.6</v>
      </c>
      <c r="K42" s="131" t="s">
        <v>1091</v>
      </c>
      <c r="L42" s="136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>
      <c r="A43" s="137">
        <v>45924.0</v>
      </c>
      <c r="B43" s="143">
        <v>6.147005551E9</v>
      </c>
      <c r="C43" s="153" t="s">
        <v>1092</v>
      </c>
      <c r="D43" s="131" t="s">
        <v>577</v>
      </c>
      <c r="E43" s="131" t="s">
        <v>128</v>
      </c>
      <c r="F43" s="134">
        <v>6091.0</v>
      </c>
      <c r="G43" s="134">
        <v>1279.11</v>
      </c>
      <c r="H43" s="134">
        <f t="shared" si="1"/>
        <v>4811.89</v>
      </c>
      <c r="I43" s="135">
        <f t="shared" si="6"/>
        <v>4811.89</v>
      </c>
      <c r="J43" s="134">
        <v>3045.5</v>
      </c>
      <c r="K43" s="131" t="s">
        <v>1093</v>
      </c>
      <c r="L43" s="136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</row>
    <row r="44">
      <c r="A44" s="137">
        <v>45927.0</v>
      </c>
      <c r="B44" s="143">
        <v>6.653022062E9</v>
      </c>
      <c r="C44" s="153" t="s">
        <v>1094</v>
      </c>
      <c r="D44" s="131" t="s">
        <v>1095</v>
      </c>
      <c r="E44" s="131" t="s">
        <v>122</v>
      </c>
      <c r="F44" s="134">
        <v>12658.88</v>
      </c>
      <c r="G44" s="134">
        <v>2658.36</v>
      </c>
      <c r="H44" s="134">
        <f t="shared" si="1"/>
        <v>10000.52</v>
      </c>
      <c r="I44" s="135">
        <f t="shared" si="6"/>
        <v>10000.52</v>
      </c>
      <c r="J44" s="134">
        <v>6329.44</v>
      </c>
      <c r="K44" s="131" t="s">
        <v>1096</v>
      </c>
      <c r="L44" s="136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</row>
    <row r="45">
      <c r="A45" s="138">
        <v>45929.0</v>
      </c>
      <c r="B45" s="152">
        <v>6.682332782E9</v>
      </c>
      <c r="C45" s="146" t="s">
        <v>1097</v>
      </c>
      <c r="D45" s="140" t="s">
        <v>1098</v>
      </c>
      <c r="E45" s="140" t="s">
        <v>175</v>
      </c>
      <c r="F45" s="141">
        <v>3606.72</v>
      </c>
      <c r="G45" s="141">
        <v>757.41</v>
      </c>
      <c r="H45" s="141">
        <f t="shared" si="1"/>
        <v>2849.31</v>
      </c>
      <c r="I45" s="135"/>
      <c r="J45" s="141">
        <v>1803.36</v>
      </c>
      <c r="K45" s="140" t="s">
        <v>1099</v>
      </c>
      <c r="L45" s="140" t="s">
        <v>1100</v>
      </c>
      <c r="M45" s="154" t="s">
        <v>1101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</row>
    <row r="46">
      <c r="A46" s="137">
        <v>45933.0</v>
      </c>
      <c r="B46" s="143">
        <v>5.049513077E9</v>
      </c>
      <c r="C46" s="153" t="s">
        <v>1102</v>
      </c>
      <c r="D46" s="131" t="s">
        <v>682</v>
      </c>
      <c r="E46" s="131" t="s">
        <v>175</v>
      </c>
      <c r="F46" s="134">
        <v>726.24</v>
      </c>
      <c r="G46" s="134">
        <v>152.51</v>
      </c>
      <c r="H46" s="134">
        <f t="shared" si="1"/>
        <v>573.73</v>
      </c>
      <c r="I46" s="135">
        <f t="shared" ref="I46:I48" si="7">H46</f>
        <v>573.73</v>
      </c>
      <c r="J46" s="134">
        <v>363.12</v>
      </c>
      <c r="K46" s="131" t="s">
        <v>1103</v>
      </c>
      <c r="L46" s="136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</row>
    <row r="47">
      <c r="A47" s="163">
        <v>45934.0</v>
      </c>
      <c r="B47" s="164">
        <v>5.656696445E9</v>
      </c>
      <c r="C47" s="166" t="s">
        <v>1104</v>
      </c>
      <c r="D47" s="166" t="s">
        <v>1105</v>
      </c>
      <c r="E47" s="166" t="s">
        <v>153</v>
      </c>
      <c r="F47" s="167">
        <v>1997.84</v>
      </c>
      <c r="G47" s="167">
        <v>419.55</v>
      </c>
      <c r="H47" s="167">
        <f t="shared" si="1"/>
        <v>1578.29</v>
      </c>
      <c r="I47" s="135">
        <f t="shared" si="7"/>
        <v>1578.29</v>
      </c>
      <c r="J47" s="167">
        <v>998.92</v>
      </c>
      <c r="K47" s="166" t="s">
        <v>1106</v>
      </c>
      <c r="L47" s="168" t="s">
        <v>1107</v>
      </c>
      <c r="M47" s="142" t="s">
        <v>1108</v>
      </c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</row>
    <row r="48">
      <c r="A48" s="137">
        <v>45938.0</v>
      </c>
      <c r="B48" s="143">
        <v>6.25769292E9</v>
      </c>
      <c r="C48" s="153" t="s">
        <v>1109</v>
      </c>
      <c r="D48" s="131" t="s">
        <v>1110</v>
      </c>
      <c r="E48" s="131" t="s">
        <v>153</v>
      </c>
      <c r="F48" s="134">
        <v>1132.2</v>
      </c>
      <c r="G48" s="134">
        <v>237.76</v>
      </c>
      <c r="H48" s="134">
        <f t="shared" si="1"/>
        <v>894.44</v>
      </c>
      <c r="I48" s="135">
        <f t="shared" si="7"/>
        <v>894.44</v>
      </c>
      <c r="J48" s="134">
        <v>566.1</v>
      </c>
      <c r="K48" s="131" t="s">
        <v>1111</v>
      </c>
      <c r="L48" s="131" t="s">
        <v>1107</v>
      </c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</row>
    <row r="49">
      <c r="A49" s="169">
        <v>45941.0</v>
      </c>
      <c r="B49" s="152">
        <v>5.157199051E9</v>
      </c>
      <c r="C49" s="140" t="s">
        <v>1112</v>
      </c>
      <c r="D49" s="140" t="s">
        <v>1113</v>
      </c>
      <c r="E49" s="140" t="s">
        <v>153</v>
      </c>
      <c r="F49" s="141">
        <v>9956.8</v>
      </c>
      <c r="G49" s="141">
        <v>2090.93</v>
      </c>
      <c r="H49" s="141">
        <f t="shared" si="1"/>
        <v>7865.87</v>
      </c>
      <c r="I49" s="135"/>
      <c r="J49" s="141">
        <v>4978.4</v>
      </c>
      <c r="K49" s="140" t="s">
        <v>1114</v>
      </c>
      <c r="L49" s="140" t="s">
        <v>1107</v>
      </c>
      <c r="M49" s="142" t="s">
        <v>1115</v>
      </c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</row>
    <row r="50">
      <c r="A50" s="170">
        <v>45944.0</v>
      </c>
      <c r="B50" s="171">
        <v>6.074212936E9</v>
      </c>
      <c r="C50" s="172" t="s">
        <v>1116</v>
      </c>
      <c r="D50" s="172" t="s">
        <v>1117</v>
      </c>
      <c r="E50" s="172" t="s">
        <v>153</v>
      </c>
      <c r="F50" s="151">
        <v>5683.44</v>
      </c>
      <c r="G50" s="151">
        <v>1193.52</v>
      </c>
      <c r="H50" s="151">
        <f t="shared" si="1"/>
        <v>4489.92</v>
      </c>
      <c r="I50" s="135">
        <f>H50</f>
        <v>4489.92</v>
      </c>
      <c r="J50" s="151">
        <v>2481.72</v>
      </c>
      <c r="K50" s="172" t="s">
        <v>1118</v>
      </c>
      <c r="L50" s="172" t="s">
        <v>1107</v>
      </c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</row>
    <row r="51">
      <c r="A51" s="174">
        <v>45946.0</v>
      </c>
      <c r="B51" s="145">
        <v>5.595395092E9</v>
      </c>
      <c r="C51" s="147" t="s">
        <v>1119</v>
      </c>
      <c r="D51" s="147" t="s">
        <v>598</v>
      </c>
      <c r="E51" s="147" t="s">
        <v>122</v>
      </c>
      <c r="F51" s="148">
        <v>862.92</v>
      </c>
      <c r="G51" s="148">
        <v>181.21</v>
      </c>
      <c r="H51" s="141">
        <f t="shared" si="1"/>
        <v>681.71</v>
      </c>
      <c r="I51" s="135"/>
      <c r="J51" s="148"/>
      <c r="K51" s="147" t="s">
        <v>1008</v>
      </c>
      <c r="L51" s="147" t="s">
        <v>1120</v>
      </c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</row>
    <row r="52">
      <c r="A52" s="137">
        <v>45679.0</v>
      </c>
      <c r="B52" s="143">
        <v>5.165604826E9</v>
      </c>
      <c r="C52" s="131" t="s">
        <v>1121</v>
      </c>
      <c r="D52" s="131" t="s">
        <v>700</v>
      </c>
      <c r="E52" s="131" t="s">
        <v>175</v>
      </c>
      <c r="F52" s="134">
        <v>788.96</v>
      </c>
      <c r="G52" s="134">
        <v>165.68</v>
      </c>
      <c r="H52" s="134">
        <f t="shared" si="1"/>
        <v>623.28</v>
      </c>
      <c r="I52" s="135">
        <f t="shared" ref="I52:I53" si="8">H52</f>
        <v>623.28</v>
      </c>
      <c r="J52" s="134">
        <v>394.48</v>
      </c>
      <c r="K52" s="131" t="s">
        <v>1122</v>
      </c>
      <c r="L52" s="131" t="s">
        <v>1107</v>
      </c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>
      <c r="A53" s="175">
        <v>45955.0</v>
      </c>
      <c r="B53" s="143">
        <v>6.588297423E9</v>
      </c>
      <c r="C53" s="131" t="s">
        <v>1123</v>
      </c>
      <c r="D53" s="131" t="s">
        <v>1124</v>
      </c>
      <c r="E53" s="131" t="s">
        <v>175</v>
      </c>
      <c r="F53" s="134">
        <v>4577.08</v>
      </c>
      <c r="G53" s="134">
        <v>961.19</v>
      </c>
      <c r="H53" s="134">
        <f t="shared" si="1"/>
        <v>3615.89</v>
      </c>
      <c r="I53" s="135">
        <f t="shared" si="8"/>
        <v>3615.89</v>
      </c>
      <c r="J53" s="134">
        <v>2288.54</v>
      </c>
      <c r="K53" s="131" t="s">
        <v>1125</v>
      </c>
      <c r="L53" s="131" t="s">
        <v>1107</v>
      </c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>
      <c r="A54" s="169">
        <v>45956.0</v>
      </c>
      <c r="B54" s="152">
        <v>5.266888295E9</v>
      </c>
      <c r="C54" s="140" t="s">
        <v>1126</v>
      </c>
      <c r="D54" s="140" t="s">
        <v>1127</v>
      </c>
      <c r="E54" s="140" t="s">
        <v>153</v>
      </c>
      <c r="F54" s="141">
        <v>5838.48</v>
      </c>
      <c r="G54" s="141">
        <v>1226.08</v>
      </c>
      <c r="H54" s="141">
        <f t="shared" si="1"/>
        <v>4612.4</v>
      </c>
      <c r="I54" s="135"/>
      <c r="J54" s="141">
        <v>2919.24</v>
      </c>
      <c r="K54" s="140" t="s">
        <v>1125</v>
      </c>
      <c r="L54" s="140" t="s">
        <v>1107</v>
      </c>
      <c r="M54" s="176" t="s">
        <v>1128</v>
      </c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</row>
    <row r="55">
      <c r="A55" s="178">
        <v>45966.0</v>
      </c>
      <c r="B55" s="179">
        <v>6.419288119E9</v>
      </c>
      <c r="C55" s="168" t="s">
        <v>1129</v>
      </c>
      <c r="D55" s="168" t="s">
        <v>1130</v>
      </c>
      <c r="E55" s="168" t="s">
        <v>15</v>
      </c>
      <c r="F55" s="135">
        <v>1247.8</v>
      </c>
      <c r="G55" s="135">
        <v>262.04</v>
      </c>
      <c r="H55" s="135">
        <f t="shared" si="1"/>
        <v>985.76</v>
      </c>
      <c r="I55" s="135">
        <f t="shared" ref="I55:I63" si="9">H55</f>
        <v>985.76</v>
      </c>
      <c r="J55" s="135">
        <v>623.9</v>
      </c>
      <c r="K55" s="168" t="s">
        <v>1131</v>
      </c>
      <c r="L55" s="168"/>
      <c r="M55" s="142" t="s">
        <v>1132</v>
      </c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</row>
    <row r="56">
      <c r="A56" s="175">
        <v>45971.0</v>
      </c>
      <c r="B56" s="149">
        <v>5.239447032E9</v>
      </c>
      <c r="C56" s="131" t="s">
        <v>798</v>
      </c>
      <c r="D56" s="131" t="s">
        <v>1133</v>
      </c>
      <c r="E56" s="131" t="s">
        <v>122</v>
      </c>
      <c r="F56" s="134">
        <v>5924.16</v>
      </c>
      <c r="G56" s="134">
        <v>1244.07</v>
      </c>
      <c r="H56" s="134">
        <f t="shared" si="1"/>
        <v>4680.09</v>
      </c>
      <c r="I56" s="135">
        <f t="shared" si="9"/>
        <v>4680.09</v>
      </c>
      <c r="J56" s="134">
        <v>2962.08</v>
      </c>
      <c r="K56" s="131" t="s">
        <v>1134</v>
      </c>
      <c r="L56" s="131" t="s">
        <v>1107</v>
      </c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</row>
    <row r="57">
      <c r="A57" s="175">
        <v>45971.0</v>
      </c>
      <c r="B57" s="149">
        <v>5.239447032E9</v>
      </c>
      <c r="C57" s="131" t="s">
        <v>798</v>
      </c>
      <c r="D57" s="131" t="s">
        <v>1135</v>
      </c>
      <c r="E57" s="131" t="s">
        <v>175</v>
      </c>
      <c r="F57" s="134">
        <v>5076.54</v>
      </c>
      <c r="G57" s="134">
        <v>1066.07</v>
      </c>
      <c r="H57" s="134">
        <f t="shared" si="1"/>
        <v>4010.47</v>
      </c>
      <c r="I57" s="135">
        <f t="shared" si="9"/>
        <v>4010.47</v>
      </c>
      <c r="J57" s="134">
        <v>2538.27</v>
      </c>
      <c r="K57" s="131" t="s">
        <v>1134</v>
      </c>
      <c r="L57" s="131" t="s">
        <v>1107</v>
      </c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>
      <c r="A58" s="175">
        <v>45973.0</v>
      </c>
      <c r="B58" s="149">
        <v>6.271643993E9</v>
      </c>
      <c r="C58" s="131" t="s">
        <v>1136</v>
      </c>
      <c r="D58" s="131" t="s">
        <v>1137</v>
      </c>
      <c r="E58" s="131" t="s">
        <v>113</v>
      </c>
      <c r="F58" s="134">
        <v>398.65</v>
      </c>
      <c r="G58" s="134">
        <v>83.72</v>
      </c>
      <c r="H58" s="134">
        <f t="shared" si="1"/>
        <v>314.93</v>
      </c>
      <c r="I58" s="135">
        <f t="shared" si="9"/>
        <v>314.93</v>
      </c>
      <c r="J58" s="134">
        <v>199.3</v>
      </c>
      <c r="K58" s="131" t="s">
        <v>1138</v>
      </c>
      <c r="L58" s="136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>
      <c r="A59" s="170">
        <v>45977.0</v>
      </c>
      <c r="B59" s="171">
        <v>5.372590431E9</v>
      </c>
      <c r="C59" s="172" t="s">
        <v>1139</v>
      </c>
      <c r="D59" s="172" t="s">
        <v>1140</v>
      </c>
      <c r="E59" s="172" t="s">
        <v>128</v>
      </c>
      <c r="F59" s="151">
        <v>1536.04</v>
      </c>
      <c r="G59" s="151">
        <v>322.57</v>
      </c>
      <c r="H59" s="151">
        <f t="shared" si="1"/>
        <v>1213.47</v>
      </c>
      <c r="I59" s="135">
        <f t="shared" si="9"/>
        <v>1213.47</v>
      </c>
      <c r="J59" s="151">
        <v>768.0</v>
      </c>
      <c r="K59" s="172" t="s">
        <v>1141</v>
      </c>
      <c r="L59" s="180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>
      <c r="A60" s="175">
        <v>45980.0</v>
      </c>
      <c r="B60" s="143">
        <v>6.956852408E9</v>
      </c>
      <c r="C60" s="153" t="s">
        <v>1142</v>
      </c>
      <c r="D60" s="131" t="s">
        <v>1143</v>
      </c>
      <c r="E60" s="131" t="s">
        <v>167</v>
      </c>
      <c r="F60" s="134">
        <v>4620.0</v>
      </c>
      <c r="G60" s="134">
        <v>970.2</v>
      </c>
      <c r="H60" s="134">
        <f t="shared" si="1"/>
        <v>3649.8</v>
      </c>
      <c r="I60" s="135">
        <f t="shared" si="9"/>
        <v>3649.8</v>
      </c>
      <c r="J60" s="134">
        <v>2310.0</v>
      </c>
      <c r="K60" s="131" t="s">
        <v>1144</v>
      </c>
      <c r="L60" s="131" t="s">
        <v>1145</v>
      </c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</row>
    <row r="61">
      <c r="A61" s="175">
        <v>45982.0</v>
      </c>
      <c r="B61" s="143">
        <v>5.941129238E9</v>
      </c>
      <c r="C61" s="131" t="s">
        <v>1146</v>
      </c>
      <c r="D61" s="131" t="s">
        <v>1147</v>
      </c>
      <c r="E61" s="131" t="s">
        <v>113</v>
      </c>
      <c r="F61" s="134">
        <v>2291.2</v>
      </c>
      <c r="G61" s="134">
        <v>481.15</v>
      </c>
      <c r="H61" s="134">
        <f t="shared" si="1"/>
        <v>1810.05</v>
      </c>
      <c r="I61" s="135">
        <f t="shared" si="9"/>
        <v>1810.05</v>
      </c>
      <c r="J61" s="134">
        <v>1145.6</v>
      </c>
      <c r="K61" s="131" t="s">
        <v>1148</v>
      </c>
      <c r="L61" s="136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>
      <c r="A62" s="175">
        <v>45988.0</v>
      </c>
      <c r="B62" s="149">
        <v>6.82813705E9</v>
      </c>
      <c r="C62" s="150" t="s">
        <v>1149</v>
      </c>
      <c r="D62" s="131" t="s">
        <v>1150</v>
      </c>
      <c r="E62" s="131" t="s">
        <v>27</v>
      </c>
      <c r="F62" s="134">
        <v>5596.4</v>
      </c>
      <c r="G62" s="134">
        <v>1175.24</v>
      </c>
      <c r="H62" s="134">
        <f t="shared" si="1"/>
        <v>4421.16</v>
      </c>
      <c r="I62" s="135">
        <f t="shared" si="9"/>
        <v>4421.16</v>
      </c>
      <c r="J62" s="134">
        <v>2798.2</v>
      </c>
      <c r="K62" s="131" t="s">
        <v>1151</v>
      </c>
      <c r="L62" s="131" t="s">
        <v>1145</v>
      </c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</row>
    <row r="63">
      <c r="A63" s="137">
        <v>45998.0</v>
      </c>
      <c r="B63" s="143">
        <v>5.845003816E9</v>
      </c>
      <c r="C63" s="131" t="s">
        <v>1152</v>
      </c>
      <c r="D63" s="131" t="s">
        <v>1153</v>
      </c>
      <c r="E63" s="131" t="s">
        <v>128</v>
      </c>
      <c r="F63" s="134">
        <v>4969.23</v>
      </c>
      <c r="G63" s="134">
        <v>1043.54</v>
      </c>
      <c r="H63" s="134">
        <f t="shared" si="1"/>
        <v>3925.69</v>
      </c>
      <c r="I63" s="135">
        <f t="shared" si="9"/>
        <v>3925.69</v>
      </c>
      <c r="J63" s="134">
        <v>2484.0</v>
      </c>
      <c r="K63" s="131" t="s">
        <v>1154</v>
      </c>
      <c r="L63" s="131" t="s">
        <v>1145</v>
      </c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</row>
    <row r="64">
      <c r="A64" s="174">
        <v>46017.0</v>
      </c>
      <c r="B64" s="181">
        <v>5.487460892E9</v>
      </c>
      <c r="C64" s="182" t="s">
        <v>1155</v>
      </c>
      <c r="D64" s="147" t="s">
        <v>1156</v>
      </c>
      <c r="E64" s="147" t="s">
        <v>167</v>
      </c>
      <c r="F64" s="148">
        <v>5238.0</v>
      </c>
      <c r="G64" s="148">
        <v>1099.98</v>
      </c>
      <c r="H64" s="141">
        <f t="shared" si="1"/>
        <v>4138.02</v>
      </c>
      <c r="I64" s="135"/>
      <c r="J64" s="148"/>
      <c r="K64" s="147" t="s">
        <v>32</v>
      </c>
      <c r="L64" s="183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</row>
    <row r="65">
      <c r="A65" s="169">
        <v>46019.0</v>
      </c>
      <c r="B65" s="152">
        <v>5.260033611E9</v>
      </c>
      <c r="C65" s="146" t="s">
        <v>1157</v>
      </c>
      <c r="D65" s="140" t="s">
        <v>1158</v>
      </c>
      <c r="E65" s="140" t="s">
        <v>122</v>
      </c>
      <c r="F65" s="141">
        <v>3361.95</v>
      </c>
      <c r="G65" s="141">
        <v>706.01</v>
      </c>
      <c r="H65" s="141">
        <f t="shared" si="1"/>
        <v>2655.94</v>
      </c>
      <c r="I65" s="135"/>
      <c r="J65" s="141">
        <v>1681.0</v>
      </c>
      <c r="K65" s="140" t="s">
        <v>1159</v>
      </c>
      <c r="L65" s="140" t="s">
        <v>1160</v>
      </c>
      <c r="M65" s="142" t="s">
        <v>1161</v>
      </c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</row>
    <row r="66">
      <c r="A66" s="175">
        <v>46020.0</v>
      </c>
      <c r="B66" s="149">
        <v>5.223666992E9</v>
      </c>
      <c r="C66" s="131" t="s">
        <v>1162</v>
      </c>
      <c r="D66" s="131" t="s">
        <v>1163</v>
      </c>
      <c r="E66" s="131" t="s">
        <v>1164</v>
      </c>
      <c r="F66" s="134">
        <v>1712.28</v>
      </c>
      <c r="G66" s="134">
        <v>359.58</v>
      </c>
      <c r="H66" s="134">
        <f t="shared" si="1"/>
        <v>1352.7</v>
      </c>
      <c r="I66" s="135">
        <f t="shared" ref="I66:I67" si="10">H66</f>
        <v>1352.7</v>
      </c>
      <c r="J66" s="134">
        <v>856.14</v>
      </c>
      <c r="K66" s="131" t="s">
        <v>1165</v>
      </c>
      <c r="L66" s="136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</row>
    <row r="67">
      <c r="A67" s="137">
        <v>46023.0</v>
      </c>
      <c r="B67" s="149">
        <v>5.886706331E9</v>
      </c>
      <c r="C67" s="131" t="s">
        <v>1166</v>
      </c>
      <c r="D67" s="131" t="s">
        <v>787</v>
      </c>
      <c r="E67" s="131" t="s">
        <v>27</v>
      </c>
      <c r="F67" s="134">
        <v>3350.25</v>
      </c>
      <c r="G67" s="134">
        <v>703.55</v>
      </c>
      <c r="H67" s="134">
        <f t="shared" si="1"/>
        <v>2646.7</v>
      </c>
      <c r="I67" s="135">
        <f t="shared" si="10"/>
        <v>2646.7</v>
      </c>
      <c r="J67" s="134">
        <v>1675.0</v>
      </c>
      <c r="K67" s="131" t="s">
        <v>1167</v>
      </c>
      <c r="L67" s="136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</row>
    <row r="68">
      <c r="A68" s="144">
        <v>46023.0</v>
      </c>
      <c r="B68" s="184">
        <v>6.70951335E9</v>
      </c>
      <c r="C68" s="42" t="s">
        <v>1168</v>
      </c>
      <c r="D68" s="42" t="s">
        <v>803</v>
      </c>
      <c r="E68" s="42" t="s">
        <v>175</v>
      </c>
      <c r="F68" s="43">
        <v>1273.65</v>
      </c>
      <c r="G68" s="148">
        <v>267.47</v>
      </c>
      <c r="H68" s="141">
        <f t="shared" si="1"/>
        <v>1006.18</v>
      </c>
      <c r="I68" s="135"/>
      <c r="J68" s="148" t="s">
        <v>32</v>
      </c>
      <c r="K68" s="147" t="s">
        <v>1169</v>
      </c>
      <c r="L68" s="161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>
      <c r="A69" s="144">
        <v>46023.0</v>
      </c>
      <c r="B69" s="181">
        <v>6.70951335E9</v>
      </c>
      <c r="C69" s="42" t="s">
        <v>1168</v>
      </c>
      <c r="D69" s="42" t="s">
        <v>803</v>
      </c>
      <c r="E69" s="42" t="s">
        <v>20</v>
      </c>
      <c r="F69" s="43">
        <v>1171.65</v>
      </c>
      <c r="G69" s="148">
        <v>246.05</v>
      </c>
      <c r="H69" s="141">
        <f t="shared" si="1"/>
        <v>925.6</v>
      </c>
      <c r="I69" s="135"/>
      <c r="J69" s="148" t="s">
        <v>32</v>
      </c>
      <c r="K69" s="147" t="s">
        <v>1169</v>
      </c>
      <c r="L69" s="161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</row>
    <row r="70">
      <c r="A70" s="138">
        <v>46024.0</v>
      </c>
      <c r="B70" s="152">
        <v>5.813697985E9</v>
      </c>
      <c r="C70" s="146" t="s">
        <v>1170</v>
      </c>
      <c r="D70" s="140" t="s">
        <v>736</v>
      </c>
      <c r="E70" s="140" t="s">
        <v>113</v>
      </c>
      <c r="F70" s="141">
        <v>3124.3</v>
      </c>
      <c r="G70" s="141">
        <v>656.1</v>
      </c>
      <c r="H70" s="141">
        <f t="shared" si="1"/>
        <v>2468.2</v>
      </c>
      <c r="I70" s="135"/>
      <c r="J70" s="141">
        <v>1562.15</v>
      </c>
      <c r="K70" s="140" t="s">
        <v>1171</v>
      </c>
      <c r="L70" s="140" t="s">
        <v>1145</v>
      </c>
      <c r="M70" s="142" t="s">
        <v>1172</v>
      </c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</row>
    <row r="71">
      <c r="A71" s="138">
        <v>46024.0</v>
      </c>
      <c r="B71" s="152">
        <v>5.813697985E9</v>
      </c>
      <c r="C71" s="146" t="s">
        <v>1170</v>
      </c>
      <c r="D71" s="140" t="s">
        <v>736</v>
      </c>
      <c r="E71" s="140" t="s">
        <v>153</v>
      </c>
      <c r="F71" s="141">
        <v>3506.8</v>
      </c>
      <c r="G71" s="141">
        <v>736.43</v>
      </c>
      <c r="H71" s="141">
        <f t="shared" si="1"/>
        <v>2770.37</v>
      </c>
      <c r="I71" s="135"/>
      <c r="J71" s="141">
        <v>1753.4</v>
      </c>
      <c r="K71" s="140" t="s">
        <v>1171</v>
      </c>
      <c r="L71" s="140" t="s">
        <v>1145</v>
      </c>
      <c r="M71" s="142" t="s">
        <v>1173</v>
      </c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</row>
    <row r="72">
      <c r="A72" s="156">
        <v>46025.0</v>
      </c>
      <c r="B72" s="145">
        <v>5.556947986E9</v>
      </c>
      <c r="C72" s="185" t="s">
        <v>1174</v>
      </c>
      <c r="D72" s="147" t="s">
        <v>1175</v>
      </c>
      <c r="E72" s="147" t="s">
        <v>175</v>
      </c>
      <c r="F72" s="148">
        <v>2315.04</v>
      </c>
      <c r="G72" s="148">
        <v>486.16</v>
      </c>
      <c r="H72" s="141">
        <f t="shared" si="1"/>
        <v>1828.88</v>
      </c>
      <c r="I72" s="135"/>
      <c r="J72" s="148"/>
      <c r="K72" s="147" t="s">
        <v>1080</v>
      </c>
      <c r="L72" s="183"/>
      <c r="M72" s="142" t="s">
        <v>1176</v>
      </c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</row>
    <row r="73">
      <c r="A73" s="138">
        <v>46026.0</v>
      </c>
      <c r="B73" s="152">
        <v>6.224025991E9</v>
      </c>
      <c r="C73" s="140" t="s">
        <v>1177</v>
      </c>
      <c r="D73" s="140" t="s">
        <v>1178</v>
      </c>
      <c r="E73" s="140" t="s">
        <v>175</v>
      </c>
      <c r="F73" s="141">
        <v>1238.22</v>
      </c>
      <c r="G73" s="141">
        <v>260.03</v>
      </c>
      <c r="H73" s="141">
        <f t="shared" si="1"/>
        <v>978.19</v>
      </c>
      <c r="I73" s="135"/>
      <c r="J73" s="141">
        <v>619.11</v>
      </c>
      <c r="K73" s="140" t="s">
        <v>1179</v>
      </c>
      <c r="L73" s="140" t="s">
        <v>1180</v>
      </c>
      <c r="M73" s="142" t="s">
        <v>1181</v>
      </c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</row>
    <row r="74">
      <c r="A74" s="138">
        <v>46027.0</v>
      </c>
      <c r="B74" s="152">
        <v>5.183267759E9</v>
      </c>
      <c r="C74" s="140" t="s">
        <v>1182</v>
      </c>
      <c r="D74" s="140" t="s">
        <v>1183</v>
      </c>
      <c r="E74" s="140" t="s">
        <v>1184</v>
      </c>
      <c r="F74" s="141">
        <v>8850.0</v>
      </c>
      <c r="G74" s="141">
        <v>1858.5</v>
      </c>
      <c r="H74" s="141">
        <f t="shared" si="1"/>
        <v>6991.5</v>
      </c>
      <c r="I74" s="135"/>
      <c r="J74" s="141">
        <v>4425.0</v>
      </c>
      <c r="K74" s="140" t="s">
        <v>1179</v>
      </c>
      <c r="L74" s="140" t="s">
        <v>1145</v>
      </c>
      <c r="M74" s="142" t="s">
        <v>1185</v>
      </c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>
      <c r="A75" s="137">
        <v>46029.0</v>
      </c>
      <c r="B75" s="149">
        <v>6.334364368E9</v>
      </c>
      <c r="C75" s="131" t="s">
        <v>1186</v>
      </c>
      <c r="D75" s="131" t="s">
        <v>1187</v>
      </c>
      <c r="E75" s="131" t="s">
        <v>153</v>
      </c>
      <c r="F75" s="134">
        <v>4430.4</v>
      </c>
      <c r="G75" s="134">
        <v>930.38</v>
      </c>
      <c r="H75" s="151">
        <f t="shared" si="1"/>
        <v>3500.02</v>
      </c>
      <c r="I75" s="135">
        <f>H75</f>
        <v>3500.02</v>
      </c>
      <c r="J75" s="134">
        <v>4430.4</v>
      </c>
      <c r="K75" s="131" t="s">
        <v>1188</v>
      </c>
      <c r="L75" s="131" t="s">
        <v>1145</v>
      </c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</row>
    <row r="76">
      <c r="A76" s="186">
        <v>46029.0</v>
      </c>
      <c r="B76" s="184">
        <v>5.014631501E9</v>
      </c>
      <c r="C76" s="187" t="s">
        <v>1189</v>
      </c>
      <c r="D76" s="187" t="s">
        <v>1190</v>
      </c>
      <c r="E76" s="187" t="s">
        <v>113</v>
      </c>
      <c r="F76" s="141">
        <v>5213.44</v>
      </c>
      <c r="G76" s="141">
        <v>1094.82</v>
      </c>
      <c r="H76" s="141">
        <f t="shared" si="1"/>
        <v>4118.62</v>
      </c>
      <c r="I76" s="135"/>
      <c r="J76" s="141">
        <v>2606.72</v>
      </c>
      <c r="K76" s="140" t="s">
        <v>1191</v>
      </c>
      <c r="L76" s="140" t="s">
        <v>1192</v>
      </c>
      <c r="M76" s="154" t="s">
        <v>1193</v>
      </c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</row>
    <row r="77">
      <c r="A77" s="137">
        <v>46029.0</v>
      </c>
      <c r="B77" s="143">
        <v>5.616866597E9</v>
      </c>
      <c r="C77" s="131" t="s">
        <v>1194</v>
      </c>
      <c r="D77" s="131" t="s">
        <v>1195</v>
      </c>
      <c r="E77" s="131" t="s">
        <v>1184</v>
      </c>
      <c r="F77" s="134">
        <v>11650.0</v>
      </c>
      <c r="G77" s="134">
        <v>2446.5</v>
      </c>
      <c r="H77" s="151">
        <f t="shared" si="1"/>
        <v>9203.5</v>
      </c>
      <c r="I77" s="135">
        <f t="shared" ref="I77:I89" si="11">H77</f>
        <v>9203.5</v>
      </c>
      <c r="J77" s="134">
        <v>5825.0</v>
      </c>
      <c r="K77" s="131" t="s">
        <v>1191</v>
      </c>
      <c r="L77" s="131" t="s">
        <v>1145</v>
      </c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</row>
    <row r="78">
      <c r="A78" s="144">
        <v>46033.0</v>
      </c>
      <c r="B78" s="145">
        <v>5.017788E9</v>
      </c>
      <c r="C78" s="147" t="s">
        <v>1196</v>
      </c>
      <c r="D78" s="147" t="s">
        <v>825</v>
      </c>
      <c r="E78" s="147" t="s">
        <v>153</v>
      </c>
      <c r="F78" s="148">
        <v>2625.88</v>
      </c>
      <c r="G78" s="148">
        <v>551.43</v>
      </c>
      <c r="H78" s="141">
        <f t="shared" si="1"/>
        <v>2074.45</v>
      </c>
      <c r="I78" s="135">
        <f t="shared" si="11"/>
        <v>2074.45</v>
      </c>
      <c r="J78" s="148" t="s">
        <v>32</v>
      </c>
      <c r="K78" s="147" t="s">
        <v>1197</v>
      </c>
      <c r="L78" s="147" t="s">
        <v>1198</v>
      </c>
      <c r="M78" s="142" t="s">
        <v>1199</v>
      </c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>
      <c r="A79" s="129">
        <v>46033.0</v>
      </c>
      <c r="B79" s="171">
        <v>5.722872302E9</v>
      </c>
      <c r="C79" s="172" t="s">
        <v>1200</v>
      </c>
      <c r="D79" s="172" t="s">
        <v>1201</v>
      </c>
      <c r="E79" s="172" t="s">
        <v>20</v>
      </c>
      <c r="F79" s="151">
        <v>2513.46</v>
      </c>
      <c r="G79" s="151">
        <v>527.83</v>
      </c>
      <c r="H79" s="151">
        <f t="shared" si="1"/>
        <v>1985.63</v>
      </c>
      <c r="I79" s="135">
        <f t="shared" si="11"/>
        <v>1985.63</v>
      </c>
      <c r="J79" s="151">
        <v>1256.73</v>
      </c>
      <c r="K79" s="172" t="s">
        <v>1202</v>
      </c>
      <c r="L79" s="172" t="s">
        <v>1145</v>
      </c>
      <c r="M79" s="14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</row>
    <row r="80">
      <c r="A80" s="129">
        <v>46033.0</v>
      </c>
      <c r="B80" s="171">
        <v>6.200019627E9</v>
      </c>
      <c r="C80" s="172" t="s">
        <v>1200</v>
      </c>
      <c r="D80" s="172" t="s">
        <v>1201</v>
      </c>
      <c r="E80" s="172" t="s">
        <v>128</v>
      </c>
      <c r="F80" s="151">
        <v>2027.46</v>
      </c>
      <c r="G80" s="151">
        <v>425.77</v>
      </c>
      <c r="H80" s="151">
        <f t="shared" si="1"/>
        <v>1601.69</v>
      </c>
      <c r="I80" s="135">
        <f t="shared" si="11"/>
        <v>1601.69</v>
      </c>
      <c r="J80" s="151">
        <v>1013.73</v>
      </c>
      <c r="K80" s="172" t="s">
        <v>1202</v>
      </c>
      <c r="L80" s="172" t="s">
        <v>1145</v>
      </c>
      <c r="M80" s="14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</row>
    <row r="81">
      <c r="A81" s="137">
        <v>46034.0</v>
      </c>
      <c r="B81" s="143">
        <v>6.704903851E9</v>
      </c>
      <c r="C81" s="131" t="s">
        <v>1203</v>
      </c>
      <c r="D81" s="131" t="s">
        <v>1204</v>
      </c>
      <c r="E81" s="131" t="s">
        <v>167</v>
      </c>
      <c r="F81" s="134">
        <v>5203.71</v>
      </c>
      <c r="G81" s="134">
        <v>1092.78</v>
      </c>
      <c r="H81" s="151">
        <f t="shared" si="1"/>
        <v>4110.93</v>
      </c>
      <c r="I81" s="135">
        <f t="shared" si="11"/>
        <v>4110.93</v>
      </c>
      <c r="J81" s="134">
        <v>2601.85</v>
      </c>
      <c r="K81" s="131" t="s">
        <v>1205</v>
      </c>
      <c r="L81" s="131" t="s">
        <v>1145</v>
      </c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</row>
    <row r="82">
      <c r="A82" s="137">
        <v>46035.0</v>
      </c>
      <c r="B82" s="143">
        <v>5.007717714E9</v>
      </c>
      <c r="C82" s="131" t="s">
        <v>1206</v>
      </c>
      <c r="D82" s="131" t="s">
        <v>1207</v>
      </c>
      <c r="E82" s="131" t="s">
        <v>113</v>
      </c>
      <c r="F82" s="134">
        <v>2741.2</v>
      </c>
      <c r="G82" s="134">
        <v>575.65</v>
      </c>
      <c r="H82" s="151">
        <f t="shared" si="1"/>
        <v>2165.55</v>
      </c>
      <c r="I82" s="135">
        <f t="shared" si="11"/>
        <v>2165.55</v>
      </c>
      <c r="J82" s="134">
        <v>1370.6</v>
      </c>
      <c r="K82" s="131" t="s">
        <v>1205</v>
      </c>
      <c r="L82" s="131" t="s">
        <v>1145</v>
      </c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>
      <c r="A83" s="137">
        <v>46036.0</v>
      </c>
      <c r="B83" s="143">
        <v>5.102817345E9</v>
      </c>
      <c r="C83" s="131" t="s">
        <v>1208</v>
      </c>
      <c r="D83" s="131" t="s">
        <v>1209</v>
      </c>
      <c r="E83" s="131" t="s">
        <v>175</v>
      </c>
      <c r="F83" s="134">
        <v>1331.1</v>
      </c>
      <c r="G83" s="134">
        <v>279.53</v>
      </c>
      <c r="H83" s="151">
        <f t="shared" si="1"/>
        <v>1051.57</v>
      </c>
      <c r="I83" s="135">
        <f t="shared" si="11"/>
        <v>1051.57</v>
      </c>
      <c r="J83" s="134">
        <v>665.5</v>
      </c>
      <c r="K83" s="131" t="s">
        <v>1205</v>
      </c>
      <c r="L83" s="131" t="s">
        <v>1145</v>
      </c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</row>
    <row r="84">
      <c r="A84" s="137">
        <v>46037.0</v>
      </c>
      <c r="B84" s="143">
        <v>5.023387552E9</v>
      </c>
      <c r="C84" s="131" t="s">
        <v>1210</v>
      </c>
      <c r="D84" s="131" t="s">
        <v>1211</v>
      </c>
      <c r="E84" s="131" t="s">
        <v>113</v>
      </c>
      <c r="F84" s="134">
        <v>2148.96</v>
      </c>
      <c r="G84" s="134">
        <v>451.28</v>
      </c>
      <c r="H84" s="151">
        <f t="shared" si="1"/>
        <v>1697.68</v>
      </c>
      <c r="I84" s="135">
        <f t="shared" si="11"/>
        <v>1697.68</v>
      </c>
      <c r="J84" s="188">
        <f t="shared" ref="J84:J89" si="12">F84/2</f>
        <v>1074.48</v>
      </c>
      <c r="K84" s="131" t="s">
        <v>1212</v>
      </c>
      <c r="L84" s="131" t="s">
        <v>1145</v>
      </c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</row>
    <row r="85">
      <c r="A85" s="137">
        <v>46038.0</v>
      </c>
      <c r="B85" s="143">
        <v>6.163608778E9</v>
      </c>
      <c r="C85" s="131" t="s">
        <v>1213</v>
      </c>
      <c r="D85" s="131" t="s">
        <v>766</v>
      </c>
      <c r="E85" s="131" t="s">
        <v>153</v>
      </c>
      <c r="F85" s="134">
        <v>1500.96</v>
      </c>
      <c r="G85" s="134">
        <v>315.2</v>
      </c>
      <c r="H85" s="151">
        <f t="shared" si="1"/>
        <v>1185.76</v>
      </c>
      <c r="I85" s="135">
        <f t="shared" si="11"/>
        <v>1185.76</v>
      </c>
      <c r="J85" s="188">
        <f t="shared" si="12"/>
        <v>750.48</v>
      </c>
      <c r="K85" s="131" t="s">
        <v>1214</v>
      </c>
      <c r="L85" s="131" t="s">
        <v>1145</v>
      </c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>
      <c r="A86" s="129">
        <v>46040.0</v>
      </c>
      <c r="B86" s="171">
        <v>6.269843555E9</v>
      </c>
      <c r="C86" s="172" t="s">
        <v>1215</v>
      </c>
      <c r="D86" s="172" t="s">
        <v>1163</v>
      </c>
      <c r="E86" s="172" t="s">
        <v>113</v>
      </c>
      <c r="F86" s="151">
        <v>1810.3</v>
      </c>
      <c r="G86" s="151">
        <v>380.16</v>
      </c>
      <c r="H86" s="151">
        <f t="shared" si="1"/>
        <v>1430.14</v>
      </c>
      <c r="I86" s="135">
        <f t="shared" si="11"/>
        <v>1430.14</v>
      </c>
      <c r="J86" s="189">
        <f t="shared" si="12"/>
        <v>905.15</v>
      </c>
      <c r="K86" s="172" t="s">
        <v>1216</v>
      </c>
      <c r="L86" s="172" t="s">
        <v>1145</v>
      </c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</row>
    <row r="87">
      <c r="A87" s="137">
        <v>46048.0</v>
      </c>
      <c r="B87" s="143">
        <v>5.476938943E9</v>
      </c>
      <c r="C87" s="131" t="s">
        <v>1217</v>
      </c>
      <c r="D87" s="131" t="s">
        <v>1218</v>
      </c>
      <c r="E87" s="131" t="s">
        <v>113</v>
      </c>
      <c r="F87" s="134">
        <v>2393.1</v>
      </c>
      <c r="G87" s="134">
        <v>502.55</v>
      </c>
      <c r="H87" s="151">
        <f t="shared" si="1"/>
        <v>1890.55</v>
      </c>
      <c r="I87" s="135">
        <f t="shared" si="11"/>
        <v>1890.55</v>
      </c>
      <c r="J87" s="189">
        <f t="shared" si="12"/>
        <v>1196.55</v>
      </c>
      <c r="K87" s="131" t="s">
        <v>1219</v>
      </c>
      <c r="L87" s="131" t="s">
        <v>1145</v>
      </c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</row>
    <row r="88">
      <c r="A88" s="137">
        <v>46102.0</v>
      </c>
      <c r="B88" s="149">
        <v>5.669623726E9</v>
      </c>
      <c r="C88" s="131" t="s">
        <v>1220</v>
      </c>
      <c r="D88" s="131" t="s">
        <v>1221</v>
      </c>
      <c r="E88" s="131" t="s">
        <v>175</v>
      </c>
      <c r="F88" s="134">
        <v>1695.6</v>
      </c>
      <c r="G88" s="134">
        <v>502.55</v>
      </c>
      <c r="H88" s="151">
        <f t="shared" si="1"/>
        <v>1193.05</v>
      </c>
      <c r="I88" s="135">
        <f t="shared" si="11"/>
        <v>1193.05</v>
      </c>
      <c r="J88" s="189">
        <f t="shared" si="12"/>
        <v>847.8</v>
      </c>
      <c r="K88" s="131" t="s">
        <v>1222</v>
      </c>
      <c r="L88" s="136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  <row r="89">
      <c r="A89" s="10"/>
      <c r="B89" s="10"/>
      <c r="C89" s="10"/>
      <c r="D89" s="10"/>
      <c r="E89" s="10"/>
      <c r="F89" s="190"/>
      <c r="G89" s="190"/>
      <c r="H89" s="191">
        <f t="shared" si="1"/>
        <v>0</v>
      </c>
      <c r="I89" s="135">
        <f t="shared" si="11"/>
        <v>0</v>
      </c>
      <c r="J89" s="190">
        <f t="shared" si="12"/>
        <v>0</v>
      </c>
      <c r="K89" s="161"/>
      <c r="L89" s="161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</row>
    <row r="90">
      <c r="F90" s="123">
        <f t="shared" ref="F90:J90" si="13">SUM(F6:F73)</f>
        <v>219221.51</v>
      </c>
      <c r="G90" s="192">
        <f t="shared" si="13"/>
        <v>46038.61</v>
      </c>
      <c r="H90" s="193">
        <f t="shared" si="13"/>
        <v>173182.9</v>
      </c>
      <c r="I90" s="194">
        <f t="shared" si="13"/>
        <v>105785.6</v>
      </c>
      <c r="J90" s="123">
        <f t="shared" si="13"/>
        <v>102230.96</v>
      </c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</row>
    <row r="91">
      <c r="A91" s="122"/>
      <c r="B91" s="122"/>
      <c r="C91" s="122"/>
      <c r="D91" s="122"/>
      <c r="E91" s="122"/>
      <c r="F91" s="123"/>
      <c r="G91" s="195" t="s">
        <v>1223</v>
      </c>
      <c r="H91" s="123"/>
      <c r="I91" s="195" t="s">
        <v>1224</v>
      </c>
      <c r="J91" s="123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</row>
    <row r="92">
      <c r="A92" s="122"/>
      <c r="B92" s="122"/>
      <c r="C92" s="142"/>
      <c r="D92" s="122"/>
      <c r="E92" s="122"/>
      <c r="F92" s="123"/>
      <c r="G92" s="123"/>
      <c r="H92" s="123"/>
      <c r="I92" s="123"/>
      <c r="J92" s="123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</row>
    <row r="93">
      <c r="A93" s="122"/>
      <c r="B93" s="122"/>
      <c r="C93" s="142"/>
      <c r="D93" s="122"/>
      <c r="E93" s="122"/>
      <c r="F93" s="123"/>
      <c r="G93" s="123"/>
      <c r="H93" s="123"/>
      <c r="I93" s="123"/>
      <c r="J93" s="123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</row>
    <row r="94">
      <c r="A94" s="122"/>
      <c r="B94" s="122"/>
      <c r="C94" s="142"/>
      <c r="D94" s="122"/>
      <c r="E94" s="122"/>
      <c r="F94" s="123"/>
      <c r="G94" s="123"/>
      <c r="H94" s="123"/>
      <c r="I94" s="123"/>
      <c r="J94" s="123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</row>
    <row r="95">
      <c r="A95" s="122"/>
      <c r="B95" s="122"/>
      <c r="C95" s="142"/>
      <c r="D95" s="122"/>
      <c r="E95" s="122"/>
      <c r="F95" s="123"/>
      <c r="G95" s="123"/>
      <c r="H95" s="123"/>
      <c r="I95" s="123"/>
      <c r="J95" s="123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</row>
    <row r="96">
      <c r="A96" s="122"/>
      <c r="B96" s="122"/>
      <c r="C96" s="142"/>
      <c r="D96" s="122"/>
      <c r="E96" s="122"/>
      <c r="F96" s="123"/>
      <c r="G96" s="123"/>
      <c r="H96" s="123"/>
      <c r="I96" s="123"/>
      <c r="J96" s="123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</row>
    <row r="97">
      <c r="A97" s="122"/>
      <c r="B97" s="122"/>
      <c r="C97" s="122"/>
      <c r="D97" s="122"/>
      <c r="E97" s="122"/>
      <c r="F97" s="123"/>
      <c r="G97" s="123"/>
      <c r="H97" s="123"/>
      <c r="I97" s="123"/>
      <c r="J97" s="123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</row>
    <row r="98">
      <c r="A98" s="122"/>
      <c r="B98" s="122"/>
      <c r="C98" s="122"/>
      <c r="D98" s="122"/>
      <c r="E98" s="122"/>
      <c r="F98" s="123"/>
      <c r="G98" s="123"/>
      <c r="H98" s="123"/>
      <c r="I98" s="123"/>
      <c r="J98" s="123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</row>
    <row r="99">
      <c r="A99" s="122"/>
      <c r="B99" s="122"/>
      <c r="C99" s="122"/>
      <c r="D99" s="122"/>
      <c r="E99" s="122"/>
      <c r="F99" s="123"/>
      <c r="G99" s="123"/>
      <c r="H99" s="123"/>
      <c r="I99" s="123"/>
      <c r="J99" s="123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</row>
    <row r="100">
      <c r="A100" s="122"/>
      <c r="B100" s="122"/>
      <c r="C100" s="122"/>
      <c r="D100" s="122"/>
      <c r="E100" s="122"/>
      <c r="F100" s="123"/>
      <c r="G100" s="123"/>
      <c r="H100" s="123"/>
      <c r="I100" s="123"/>
      <c r="J100" s="123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</row>
    <row r="101">
      <c r="A101" s="122"/>
      <c r="B101" s="122"/>
      <c r="C101" s="122"/>
      <c r="D101" s="122"/>
      <c r="E101" s="122"/>
      <c r="F101" s="123"/>
      <c r="G101" s="123"/>
      <c r="H101" s="123"/>
      <c r="I101" s="123"/>
      <c r="J101" s="123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</row>
    <row r="102">
      <c r="A102" s="122"/>
      <c r="B102" s="122"/>
      <c r="C102" s="122"/>
      <c r="D102" s="122"/>
      <c r="E102" s="122"/>
      <c r="F102" s="123"/>
      <c r="G102" s="123"/>
      <c r="H102" s="123"/>
      <c r="I102" s="123"/>
      <c r="J102" s="123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</row>
    <row r="103">
      <c r="A103" s="122"/>
      <c r="B103" s="122"/>
      <c r="C103" s="122"/>
      <c r="D103" s="122"/>
      <c r="E103" s="122"/>
      <c r="F103" s="123"/>
      <c r="G103" s="123"/>
      <c r="H103" s="123"/>
      <c r="I103" s="123"/>
      <c r="J103" s="123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</row>
    <row r="104">
      <c r="A104" s="122"/>
      <c r="B104" s="122"/>
      <c r="C104" s="122"/>
      <c r="D104" s="122"/>
      <c r="E104" s="122"/>
      <c r="F104" s="123"/>
      <c r="G104" s="123"/>
      <c r="H104" s="123"/>
      <c r="I104" s="123"/>
      <c r="J104" s="123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</row>
    <row r="105">
      <c r="A105" s="122"/>
      <c r="B105" s="122"/>
      <c r="C105" s="122"/>
      <c r="D105" s="122"/>
      <c r="E105" s="122"/>
      <c r="F105" s="123"/>
      <c r="G105" s="123"/>
      <c r="H105" s="123"/>
      <c r="I105" s="123"/>
      <c r="J105" s="123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</row>
    <row r="106">
      <c r="A106" s="122"/>
      <c r="B106" s="122"/>
      <c r="C106" s="122"/>
      <c r="D106" s="122"/>
      <c r="E106" s="122"/>
      <c r="F106" s="123"/>
      <c r="G106" s="123"/>
      <c r="H106" s="123"/>
      <c r="I106" s="123"/>
      <c r="J106" s="123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</row>
    <row r="107">
      <c r="A107" s="122"/>
      <c r="B107" s="122"/>
      <c r="C107" s="122"/>
      <c r="D107" s="122"/>
      <c r="E107" s="122"/>
      <c r="F107" s="123"/>
      <c r="G107" s="123"/>
      <c r="H107" s="123"/>
      <c r="I107" s="123"/>
      <c r="J107" s="123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</row>
    <row r="108">
      <c r="A108" s="122"/>
      <c r="B108" s="122"/>
      <c r="C108" s="122"/>
      <c r="D108" s="122"/>
      <c r="E108" s="122"/>
      <c r="F108" s="123"/>
      <c r="G108" s="123"/>
      <c r="H108" s="123"/>
      <c r="I108" s="123"/>
      <c r="J108" s="123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</row>
    <row r="109">
      <c r="A109" s="122"/>
      <c r="B109" s="122"/>
      <c r="C109" s="122"/>
      <c r="D109" s="122"/>
      <c r="E109" s="122"/>
      <c r="F109" s="123"/>
      <c r="G109" s="123"/>
      <c r="H109" s="123"/>
      <c r="I109" s="123"/>
      <c r="J109" s="123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</row>
    <row r="110">
      <c r="A110" s="122"/>
      <c r="B110" s="122"/>
      <c r="C110" s="122"/>
      <c r="D110" s="122"/>
      <c r="E110" s="122"/>
      <c r="F110" s="123"/>
      <c r="G110" s="123"/>
      <c r="H110" s="123"/>
      <c r="I110" s="123"/>
      <c r="J110" s="123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</row>
    <row r="111">
      <c r="A111" s="122"/>
      <c r="B111" s="122"/>
      <c r="C111" s="122"/>
      <c r="D111" s="122"/>
      <c r="E111" s="122"/>
      <c r="F111" s="123"/>
      <c r="G111" s="123"/>
      <c r="H111" s="123"/>
      <c r="I111" s="123"/>
      <c r="J111" s="123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</row>
    <row r="112">
      <c r="A112" s="122"/>
      <c r="B112" s="122"/>
      <c r="C112" s="122"/>
      <c r="D112" s="122"/>
      <c r="E112" s="122"/>
      <c r="F112" s="123"/>
      <c r="G112" s="123"/>
      <c r="H112" s="123"/>
      <c r="I112" s="123"/>
      <c r="J112" s="123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</row>
    <row r="113">
      <c r="A113" s="122"/>
      <c r="B113" s="122"/>
      <c r="C113" s="122"/>
      <c r="D113" s="122"/>
      <c r="E113" s="122"/>
      <c r="F113" s="123"/>
      <c r="G113" s="123"/>
      <c r="H113" s="123"/>
      <c r="I113" s="123"/>
      <c r="J113" s="123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</row>
    <row r="114">
      <c r="A114" s="122"/>
      <c r="B114" s="122"/>
      <c r="C114" s="122"/>
      <c r="D114" s="122"/>
      <c r="E114" s="122"/>
      <c r="F114" s="123"/>
      <c r="G114" s="123"/>
      <c r="H114" s="123"/>
      <c r="I114" s="123"/>
      <c r="J114" s="123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</row>
    <row r="115">
      <c r="A115" s="122"/>
      <c r="B115" s="122"/>
      <c r="C115" s="122"/>
      <c r="D115" s="122"/>
      <c r="E115" s="122"/>
      <c r="F115" s="123"/>
      <c r="G115" s="123"/>
      <c r="H115" s="123"/>
      <c r="I115" s="123"/>
      <c r="J115" s="123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</row>
    <row r="116">
      <c r="A116" s="122"/>
      <c r="B116" s="122"/>
      <c r="C116" s="122"/>
      <c r="D116" s="122"/>
      <c r="E116" s="122"/>
      <c r="F116" s="123"/>
      <c r="G116" s="123"/>
      <c r="H116" s="123"/>
      <c r="I116" s="123"/>
      <c r="J116" s="123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</row>
    <row r="117">
      <c r="A117" s="122"/>
      <c r="B117" s="122"/>
      <c r="C117" s="122"/>
      <c r="D117" s="122"/>
      <c r="E117" s="122"/>
      <c r="F117" s="123"/>
      <c r="G117" s="123"/>
      <c r="H117" s="123"/>
      <c r="I117" s="123"/>
      <c r="J117" s="123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</row>
    <row r="118">
      <c r="A118" s="122"/>
      <c r="B118" s="122"/>
      <c r="C118" s="122"/>
      <c r="D118" s="122"/>
      <c r="E118" s="122"/>
      <c r="F118" s="123"/>
      <c r="G118" s="123"/>
      <c r="H118" s="123"/>
      <c r="I118" s="123"/>
      <c r="J118" s="123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</row>
    <row r="119">
      <c r="A119" s="122"/>
      <c r="B119" s="122"/>
      <c r="C119" s="122"/>
      <c r="D119" s="122"/>
      <c r="E119" s="122"/>
      <c r="F119" s="123"/>
      <c r="G119" s="123"/>
      <c r="H119" s="123"/>
      <c r="I119" s="123"/>
      <c r="J119" s="123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</row>
    <row r="120">
      <c r="A120" s="122"/>
      <c r="B120" s="122"/>
      <c r="C120" s="122"/>
      <c r="D120" s="122"/>
      <c r="E120" s="122"/>
      <c r="F120" s="123"/>
      <c r="G120" s="123"/>
      <c r="H120" s="123"/>
      <c r="I120" s="123"/>
      <c r="J120" s="123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</row>
    <row r="121">
      <c r="A121" s="122"/>
      <c r="B121" s="122"/>
      <c r="C121" s="122"/>
      <c r="D121" s="122"/>
      <c r="E121" s="122"/>
      <c r="F121" s="123"/>
      <c r="G121" s="123"/>
      <c r="H121" s="123"/>
      <c r="I121" s="123"/>
      <c r="J121" s="123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</row>
    <row r="122">
      <c r="A122" s="122"/>
      <c r="B122" s="122"/>
      <c r="C122" s="122"/>
      <c r="D122" s="122"/>
      <c r="E122" s="122"/>
      <c r="F122" s="123"/>
      <c r="G122" s="123"/>
      <c r="H122" s="123"/>
      <c r="I122" s="123"/>
      <c r="J122" s="123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</row>
    <row r="123">
      <c r="A123" s="122"/>
      <c r="B123" s="122"/>
      <c r="C123" s="122"/>
      <c r="D123" s="122"/>
      <c r="E123" s="122"/>
      <c r="F123" s="123"/>
      <c r="G123" s="123"/>
      <c r="H123" s="123"/>
      <c r="I123" s="123"/>
      <c r="J123" s="123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</row>
    <row r="124">
      <c r="A124" s="122"/>
      <c r="B124" s="122"/>
      <c r="C124" s="122"/>
      <c r="D124" s="122"/>
      <c r="E124" s="122"/>
      <c r="F124" s="123"/>
      <c r="G124" s="123"/>
      <c r="H124" s="123"/>
      <c r="I124" s="123"/>
      <c r="J124" s="123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</row>
    <row r="125">
      <c r="A125" s="122"/>
      <c r="B125" s="122"/>
      <c r="C125" s="122"/>
      <c r="D125" s="122"/>
      <c r="E125" s="122"/>
      <c r="F125" s="123"/>
      <c r="G125" s="123"/>
      <c r="H125" s="123"/>
      <c r="I125" s="123"/>
      <c r="J125" s="123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</row>
    <row r="126">
      <c r="A126" s="122"/>
      <c r="B126" s="122"/>
      <c r="C126" s="122"/>
      <c r="D126" s="122"/>
      <c r="E126" s="122"/>
      <c r="F126" s="123"/>
      <c r="G126" s="123"/>
      <c r="H126" s="123"/>
      <c r="I126" s="123"/>
      <c r="J126" s="123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</row>
    <row r="127">
      <c r="A127" s="122"/>
      <c r="B127" s="122"/>
      <c r="C127" s="122"/>
      <c r="D127" s="122"/>
      <c r="E127" s="122"/>
      <c r="F127" s="123"/>
      <c r="G127" s="123"/>
      <c r="H127" s="123"/>
      <c r="I127" s="123"/>
      <c r="J127" s="123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</row>
    <row r="128">
      <c r="A128" s="122"/>
      <c r="B128" s="122"/>
      <c r="C128" s="122"/>
      <c r="D128" s="122"/>
      <c r="E128" s="122"/>
      <c r="F128" s="123"/>
      <c r="G128" s="123"/>
      <c r="H128" s="123"/>
      <c r="I128" s="123"/>
      <c r="J128" s="123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</row>
    <row r="129">
      <c r="A129" s="122"/>
      <c r="B129" s="122"/>
      <c r="C129" s="122"/>
      <c r="D129" s="122"/>
      <c r="E129" s="122"/>
      <c r="F129" s="123"/>
      <c r="G129" s="123"/>
      <c r="H129" s="123"/>
      <c r="I129" s="123"/>
      <c r="J129" s="123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</row>
    <row r="130">
      <c r="A130" s="122"/>
      <c r="B130" s="122"/>
      <c r="C130" s="122"/>
      <c r="D130" s="122"/>
      <c r="E130" s="122"/>
      <c r="F130" s="123"/>
      <c r="G130" s="123"/>
      <c r="H130" s="123"/>
      <c r="I130" s="123"/>
      <c r="J130" s="123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</row>
    <row r="131">
      <c r="A131" s="122"/>
      <c r="B131" s="122"/>
      <c r="C131" s="122"/>
      <c r="D131" s="122"/>
      <c r="E131" s="122"/>
      <c r="F131" s="123"/>
      <c r="G131" s="123"/>
      <c r="H131" s="123"/>
      <c r="I131" s="123"/>
      <c r="J131" s="123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</row>
    <row r="132">
      <c r="A132" s="122"/>
      <c r="B132" s="122"/>
      <c r="C132" s="122"/>
      <c r="D132" s="122"/>
      <c r="E132" s="122"/>
      <c r="F132" s="123"/>
      <c r="G132" s="123"/>
      <c r="H132" s="123"/>
      <c r="I132" s="123"/>
      <c r="J132" s="123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</row>
    <row r="133">
      <c r="A133" s="122"/>
      <c r="B133" s="122"/>
      <c r="C133" s="122"/>
      <c r="D133" s="122"/>
      <c r="E133" s="122"/>
      <c r="F133" s="123"/>
      <c r="G133" s="123"/>
      <c r="H133" s="123"/>
      <c r="I133" s="123"/>
      <c r="J133" s="123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</row>
    <row r="134">
      <c r="A134" s="122"/>
      <c r="B134" s="122"/>
      <c r="C134" s="122"/>
      <c r="D134" s="122"/>
      <c r="E134" s="122"/>
      <c r="F134" s="123"/>
      <c r="G134" s="123"/>
      <c r="H134" s="123"/>
      <c r="I134" s="123"/>
      <c r="J134" s="123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</row>
    <row r="135">
      <c r="A135" s="122"/>
      <c r="B135" s="122"/>
      <c r="C135" s="122"/>
      <c r="D135" s="122"/>
      <c r="E135" s="122"/>
      <c r="F135" s="123"/>
      <c r="G135" s="123"/>
      <c r="H135" s="123"/>
      <c r="I135" s="123"/>
      <c r="J135" s="123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</row>
    <row r="136">
      <c r="A136" s="122"/>
      <c r="B136" s="122"/>
      <c r="C136" s="122"/>
      <c r="D136" s="122"/>
      <c r="E136" s="122"/>
      <c r="F136" s="123"/>
      <c r="G136" s="123"/>
      <c r="H136" s="123"/>
      <c r="I136" s="123"/>
      <c r="J136" s="123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</row>
    <row r="137">
      <c r="A137" s="122"/>
      <c r="B137" s="122"/>
      <c r="C137" s="122"/>
      <c r="D137" s="122"/>
      <c r="E137" s="122"/>
      <c r="F137" s="123"/>
      <c r="G137" s="123"/>
      <c r="H137" s="123"/>
      <c r="I137" s="123"/>
      <c r="J137" s="123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</row>
    <row r="138">
      <c r="A138" s="122"/>
      <c r="B138" s="122"/>
      <c r="C138" s="122"/>
      <c r="D138" s="122"/>
      <c r="E138" s="122"/>
      <c r="F138" s="123"/>
      <c r="G138" s="123"/>
      <c r="H138" s="123"/>
      <c r="I138" s="123"/>
      <c r="J138" s="123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</row>
    <row r="139">
      <c r="A139" s="122"/>
      <c r="B139" s="122"/>
      <c r="C139" s="122"/>
      <c r="D139" s="122"/>
      <c r="E139" s="122"/>
      <c r="F139" s="123"/>
      <c r="G139" s="123"/>
      <c r="H139" s="123"/>
      <c r="I139" s="123"/>
      <c r="J139" s="123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</row>
    <row r="140">
      <c r="A140" s="122"/>
      <c r="B140" s="122"/>
      <c r="C140" s="122"/>
      <c r="D140" s="122"/>
      <c r="E140" s="122"/>
      <c r="F140" s="123"/>
      <c r="G140" s="123"/>
      <c r="H140" s="123"/>
      <c r="I140" s="123"/>
      <c r="J140" s="123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</row>
    <row r="141">
      <c r="A141" s="122"/>
      <c r="B141" s="122"/>
      <c r="C141" s="122"/>
      <c r="D141" s="122"/>
      <c r="E141" s="122"/>
      <c r="F141" s="123"/>
      <c r="G141" s="123"/>
      <c r="H141" s="123"/>
      <c r="I141" s="123"/>
      <c r="J141" s="123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</row>
    <row r="142">
      <c r="A142" s="122"/>
      <c r="B142" s="122"/>
      <c r="C142" s="122"/>
      <c r="D142" s="122"/>
      <c r="E142" s="122"/>
      <c r="F142" s="123"/>
      <c r="G142" s="123"/>
      <c r="H142" s="123"/>
      <c r="I142" s="123"/>
      <c r="J142" s="123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</row>
    <row r="143">
      <c r="A143" s="122"/>
      <c r="B143" s="122"/>
      <c r="C143" s="122"/>
      <c r="D143" s="122"/>
      <c r="E143" s="122"/>
      <c r="F143" s="123"/>
      <c r="G143" s="123"/>
      <c r="H143" s="123"/>
      <c r="I143" s="123"/>
      <c r="J143" s="123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</row>
    <row r="144">
      <c r="A144" s="122"/>
      <c r="B144" s="122"/>
      <c r="C144" s="122"/>
      <c r="D144" s="122"/>
      <c r="E144" s="122"/>
      <c r="F144" s="123"/>
      <c r="G144" s="123"/>
      <c r="H144" s="123"/>
      <c r="I144" s="123"/>
      <c r="J144" s="123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</row>
    <row r="145">
      <c r="A145" s="122"/>
      <c r="B145" s="122"/>
      <c r="C145" s="122"/>
      <c r="D145" s="122"/>
      <c r="E145" s="122"/>
      <c r="F145" s="123"/>
      <c r="G145" s="123"/>
      <c r="H145" s="123"/>
      <c r="I145" s="123"/>
      <c r="J145" s="123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</row>
    <row r="146">
      <c r="A146" s="122"/>
      <c r="B146" s="122"/>
      <c r="C146" s="122"/>
      <c r="D146" s="122"/>
      <c r="E146" s="122"/>
      <c r="F146" s="123"/>
      <c r="G146" s="123"/>
      <c r="H146" s="123"/>
      <c r="I146" s="123"/>
      <c r="J146" s="123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</row>
    <row r="147">
      <c r="A147" s="122"/>
      <c r="B147" s="122"/>
      <c r="C147" s="122"/>
      <c r="D147" s="122"/>
      <c r="E147" s="122"/>
      <c r="F147" s="123"/>
      <c r="G147" s="123"/>
      <c r="H147" s="123"/>
      <c r="I147" s="123"/>
      <c r="J147" s="123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</row>
    <row r="148">
      <c r="A148" s="122"/>
      <c r="B148" s="122"/>
      <c r="C148" s="122"/>
      <c r="D148" s="122"/>
      <c r="E148" s="122"/>
      <c r="F148" s="123"/>
      <c r="G148" s="123"/>
      <c r="H148" s="123"/>
      <c r="I148" s="123"/>
      <c r="J148" s="123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</row>
    <row r="149">
      <c r="A149" s="122"/>
      <c r="B149" s="122"/>
      <c r="C149" s="122"/>
      <c r="D149" s="122"/>
      <c r="E149" s="122"/>
      <c r="F149" s="123"/>
      <c r="G149" s="123"/>
      <c r="H149" s="123"/>
      <c r="I149" s="123"/>
      <c r="J149" s="123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</row>
    <row r="150">
      <c r="A150" s="122"/>
      <c r="B150" s="122"/>
      <c r="C150" s="122"/>
      <c r="D150" s="122"/>
      <c r="E150" s="122"/>
      <c r="F150" s="123"/>
      <c r="G150" s="123"/>
      <c r="H150" s="123"/>
      <c r="I150" s="123"/>
      <c r="J150" s="123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</row>
    <row r="151">
      <c r="A151" s="122"/>
      <c r="B151" s="122"/>
      <c r="C151" s="122"/>
      <c r="D151" s="122"/>
      <c r="E151" s="122"/>
      <c r="F151" s="123"/>
      <c r="G151" s="123"/>
      <c r="H151" s="123"/>
      <c r="I151" s="123"/>
      <c r="J151" s="123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</row>
    <row r="152">
      <c r="A152" s="122"/>
      <c r="B152" s="122"/>
      <c r="C152" s="122"/>
      <c r="D152" s="122"/>
      <c r="E152" s="122"/>
      <c r="F152" s="123"/>
      <c r="G152" s="123"/>
      <c r="H152" s="123"/>
      <c r="I152" s="123"/>
      <c r="J152" s="123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</row>
    <row r="153">
      <c r="A153" s="122"/>
      <c r="B153" s="122"/>
      <c r="C153" s="122"/>
      <c r="D153" s="122"/>
      <c r="E153" s="122"/>
      <c r="F153" s="123"/>
      <c r="G153" s="123"/>
      <c r="H153" s="123"/>
      <c r="I153" s="123"/>
      <c r="J153" s="123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</row>
    <row r="154">
      <c r="A154" s="122"/>
      <c r="B154" s="122"/>
      <c r="C154" s="122"/>
      <c r="D154" s="122"/>
      <c r="E154" s="122"/>
      <c r="F154" s="123"/>
      <c r="G154" s="123"/>
      <c r="H154" s="123"/>
      <c r="I154" s="123"/>
      <c r="J154" s="123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</row>
    <row r="155">
      <c r="A155" s="122"/>
      <c r="B155" s="122"/>
      <c r="C155" s="122"/>
      <c r="D155" s="122"/>
      <c r="E155" s="122"/>
      <c r="F155" s="123"/>
      <c r="G155" s="123"/>
      <c r="H155" s="123"/>
      <c r="I155" s="123"/>
      <c r="J155" s="123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</row>
    <row r="156">
      <c r="A156" s="122"/>
      <c r="B156" s="122"/>
      <c r="C156" s="122"/>
      <c r="D156" s="122"/>
      <c r="E156" s="122"/>
      <c r="F156" s="123"/>
      <c r="G156" s="123"/>
      <c r="H156" s="123"/>
      <c r="I156" s="123"/>
      <c r="J156" s="123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</row>
    <row r="157">
      <c r="A157" s="122"/>
      <c r="B157" s="122"/>
      <c r="C157" s="122"/>
      <c r="D157" s="122"/>
      <c r="E157" s="122"/>
      <c r="F157" s="123"/>
      <c r="G157" s="123"/>
      <c r="H157" s="123"/>
      <c r="I157" s="123"/>
      <c r="J157" s="123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</row>
    <row r="158">
      <c r="A158" s="122"/>
      <c r="B158" s="122"/>
      <c r="C158" s="122"/>
      <c r="D158" s="122"/>
      <c r="E158" s="122"/>
      <c r="F158" s="123"/>
      <c r="G158" s="123"/>
      <c r="H158" s="123"/>
      <c r="I158" s="123"/>
      <c r="J158" s="123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</row>
    <row r="159">
      <c r="A159" s="122"/>
      <c r="B159" s="122"/>
      <c r="C159" s="122"/>
      <c r="D159" s="122"/>
      <c r="E159" s="122"/>
      <c r="F159" s="123"/>
      <c r="G159" s="123"/>
      <c r="H159" s="123"/>
      <c r="I159" s="123"/>
      <c r="J159" s="123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</row>
    <row r="160">
      <c r="A160" s="122"/>
      <c r="B160" s="122"/>
      <c r="C160" s="122"/>
      <c r="D160" s="122"/>
      <c r="E160" s="122"/>
      <c r="F160" s="123"/>
      <c r="G160" s="123"/>
      <c r="H160" s="123"/>
      <c r="I160" s="123"/>
      <c r="J160" s="123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</row>
    <row r="161">
      <c r="A161" s="122"/>
      <c r="B161" s="122"/>
      <c r="C161" s="122"/>
      <c r="D161" s="122"/>
      <c r="E161" s="122"/>
      <c r="F161" s="123"/>
      <c r="G161" s="123"/>
      <c r="H161" s="123"/>
      <c r="I161" s="123"/>
      <c r="J161" s="123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</row>
    <row r="162">
      <c r="A162" s="122"/>
      <c r="B162" s="122"/>
      <c r="C162" s="122"/>
      <c r="D162" s="122"/>
      <c r="E162" s="122"/>
      <c r="F162" s="123"/>
      <c r="G162" s="123"/>
      <c r="H162" s="123"/>
      <c r="I162" s="123"/>
      <c r="J162" s="123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</row>
    <row r="163">
      <c r="A163" s="122"/>
      <c r="B163" s="122"/>
      <c r="C163" s="122"/>
      <c r="D163" s="122"/>
      <c r="E163" s="122"/>
      <c r="F163" s="123"/>
      <c r="G163" s="123"/>
      <c r="H163" s="123"/>
      <c r="I163" s="123"/>
      <c r="J163" s="123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</row>
    <row r="164">
      <c r="A164" s="122"/>
      <c r="B164" s="122"/>
      <c r="C164" s="122"/>
      <c r="D164" s="122"/>
      <c r="E164" s="122"/>
      <c r="F164" s="123"/>
      <c r="G164" s="123"/>
      <c r="H164" s="123"/>
      <c r="I164" s="123"/>
      <c r="J164" s="123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</row>
    <row r="165">
      <c r="A165" s="122"/>
      <c r="B165" s="122"/>
      <c r="C165" s="122"/>
      <c r="D165" s="122"/>
      <c r="E165" s="122"/>
      <c r="F165" s="123"/>
      <c r="G165" s="123"/>
      <c r="H165" s="123"/>
      <c r="I165" s="123"/>
      <c r="J165" s="123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</row>
    <row r="166">
      <c r="A166" s="122"/>
      <c r="B166" s="122"/>
      <c r="C166" s="122"/>
      <c r="D166" s="122"/>
      <c r="E166" s="122"/>
      <c r="F166" s="123"/>
      <c r="G166" s="123"/>
      <c r="H166" s="123"/>
      <c r="I166" s="123"/>
      <c r="J166" s="123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</row>
    <row r="167">
      <c r="A167" s="122"/>
      <c r="B167" s="122"/>
      <c r="C167" s="122"/>
      <c r="D167" s="122"/>
      <c r="E167" s="122"/>
      <c r="F167" s="123"/>
      <c r="G167" s="123"/>
      <c r="H167" s="123"/>
      <c r="I167" s="123"/>
      <c r="J167" s="123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</row>
    <row r="168">
      <c r="A168" s="122"/>
      <c r="B168" s="122"/>
      <c r="C168" s="122"/>
      <c r="D168" s="122"/>
      <c r="E168" s="122"/>
      <c r="F168" s="123"/>
      <c r="G168" s="123"/>
      <c r="H168" s="123"/>
      <c r="I168" s="123"/>
      <c r="J168" s="123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</row>
    <row r="169">
      <c r="A169" s="122"/>
      <c r="B169" s="122"/>
      <c r="C169" s="122"/>
      <c r="D169" s="122"/>
      <c r="E169" s="122"/>
      <c r="F169" s="123"/>
      <c r="G169" s="123"/>
      <c r="H169" s="123"/>
      <c r="I169" s="123"/>
      <c r="J169" s="123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</row>
    <row r="170">
      <c r="A170" s="122"/>
      <c r="B170" s="122"/>
      <c r="C170" s="122"/>
      <c r="D170" s="122"/>
      <c r="E170" s="122"/>
      <c r="F170" s="123"/>
      <c r="G170" s="123"/>
      <c r="H170" s="123"/>
      <c r="I170" s="123"/>
      <c r="J170" s="123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</row>
    <row r="171">
      <c r="A171" s="122"/>
      <c r="B171" s="122"/>
      <c r="C171" s="122"/>
      <c r="D171" s="122"/>
      <c r="E171" s="122"/>
      <c r="F171" s="123"/>
      <c r="G171" s="123"/>
      <c r="H171" s="123"/>
      <c r="I171" s="123"/>
      <c r="J171" s="123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</row>
    <row r="172">
      <c r="A172" s="122"/>
      <c r="B172" s="122"/>
      <c r="C172" s="122"/>
      <c r="D172" s="122"/>
      <c r="E172" s="122"/>
      <c r="F172" s="123"/>
      <c r="G172" s="123"/>
      <c r="H172" s="123"/>
      <c r="I172" s="123"/>
      <c r="J172" s="123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</row>
    <row r="173">
      <c r="A173" s="122"/>
      <c r="B173" s="122"/>
      <c r="C173" s="122"/>
      <c r="D173" s="122"/>
      <c r="E173" s="122"/>
      <c r="F173" s="123"/>
      <c r="G173" s="123"/>
      <c r="H173" s="123"/>
      <c r="I173" s="123"/>
      <c r="J173" s="123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</row>
    <row r="174">
      <c r="A174" s="122"/>
      <c r="B174" s="122"/>
      <c r="C174" s="122"/>
      <c r="D174" s="122"/>
      <c r="E174" s="122"/>
      <c r="F174" s="123"/>
      <c r="G174" s="123"/>
      <c r="H174" s="123"/>
      <c r="I174" s="123"/>
      <c r="J174" s="123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</row>
    <row r="175">
      <c r="A175" s="122"/>
      <c r="B175" s="122"/>
      <c r="C175" s="122"/>
      <c r="D175" s="122"/>
      <c r="E175" s="122"/>
      <c r="F175" s="123"/>
      <c r="G175" s="123"/>
      <c r="H175" s="123"/>
      <c r="I175" s="123"/>
      <c r="J175" s="123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</row>
    <row r="176">
      <c r="A176" s="122"/>
      <c r="B176" s="122"/>
      <c r="C176" s="122"/>
      <c r="D176" s="122"/>
      <c r="E176" s="122"/>
      <c r="F176" s="123"/>
      <c r="G176" s="123"/>
      <c r="H176" s="123"/>
      <c r="I176" s="123"/>
      <c r="J176" s="123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</row>
    <row r="177">
      <c r="A177" s="122"/>
      <c r="B177" s="122"/>
      <c r="C177" s="122"/>
      <c r="D177" s="122"/>
      <c r="E177" s="122"/>
      <c r="F177" s="123"/>
      <c r="G177" s="123"/>
      <c r="H177" s="123"/>
      <c r="I177" s="123"/>
      <c r="J177" s="123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</row>
    <row r="178">
      <c r="A178" s="122"/>
      <c r="B178" s="122"/>
      <c r="C178" s="122"/>
      <c r="D178" s="122"/>
      <c r="E178" s="122"/>
      <c r="F178" s="123"/>
      <c r="G178" s="123"/>
      <c r="H178" s="123"/>
      <c r="I178" s="123"/>
      <c r="J178" s="123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</row>
    <row r="179">
      <c r="A179" s="122"/>
      <c r="B179" s="122"/>
      <c r="C179" s="122"/>
      <c r="D179" s="122"/>
      <c r="E179" s="122"/>
      <c r="F179" s="123"/>
      <c r="G179" s="123"/>
      <c r="H179" s="123"/>
      <c r="I179" s="123"/>
      <c r="J179" s="123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</row>
    <row r="180">
      <c r="A180" s="122"/>
      <c r="B180" s="122"/>
      <c r="C180" s="122"/>
      <c r="D180" s="122"/>
      <c r="E180" s="122"/>
      <c r="F180" s="123"/>
      <c r="G180" s="123"/>
      <c r="H180" s="123"/>
      <c r="I180" s="123"/>
      <c r="J180" s="123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</row>
    <row r="181">
      <c r="A181" s="122"/>
      <c r="B181" s="122"/>
      <c r="C181" s="122"/>
      <c r="D181" s="122"/>
      <c r="E181" s="122"/>
      <c r="F181" s="123"/>
      <c r="G181" s="123"/>
      <c r="H181" s="123"/>
      <c r="I181" s="123"/>
      <c r="J181" s="123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</row>
    <row r="182">
      <c r="A182" s="122"/>
      <c r="B182" s="122"/>
      <c r="C182" s="122"/>
      <c r="D182" s="122"/>
      <c r="E182" s="122"/>
      <c r="F182" s="123"/>
      <c r="G182" s="123"/>
      <c r="H182" s="123"/>
      <c r="I182" s="123"/>
      <c r="J182" s="123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</row>
    <row r="183">
      <c r="A183" s="122"/>
      <c r="B183" s="122"/>
      <c r="C183" s="122"/>
      <c r="D183" s="122"/>
      <c r="E183" s="122"/>
      <c r="F183" s="123"/>
      <c r="G183" s="123"/>
      <c r="H183" s="123"/>
      <c r="I183" s="123"/>
      <c r="J183" s="123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</row>
    <row r="184">
      <c r="A184" s="122"/>
      <c r="B184" s="122"/>
      <c r="C184" s="122"/>
      <c r="D184" s="122"/>
      <c r="E184" s="122"/>
      <c r="F184" s="123"/>
      <c r="G184" s="123"/>
      <c r="H184" s="123"/>
      <c r="I184" s="123"/>
      <c r="J184" s="123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</row>
    <row r="185">
      <c r="A185" s="122"/>
      <c r="B185" s="122"/>
      <c r="C185" s="122"/>
      <c r="D185" s="122"/>
      <c r="E185" s="122"/>
      <c r="F185" s="123"/>
      <c r="G185" s="123"/>
      <c r="H185" s="123"/>
      <c r="I185" s="123"/>
      <c r="J185" s="123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</row>
    <row r="186">
      <c r="A186" s="122"/>
      <c r="B186" s="122"/>
      <c r="C186" s="122"/>
      <c r="D186" s="122"/>
      <c r="E186" s="122"/>
      <c r="F186" s="123"/>
      <c r="G186" s="123"/>
      <c r="H186" s="123"/>
      <c r="I186" s="123"/>
      <c r="J186" s="123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</row>
    <row r="187">
      <c r="A187" s="122"/>
      <c r="B187" s="122"/>
      <c r="C187" s="122"/>
      <c r="D187" s="122"/>
      <c r="E187" s="122"/>
      <c r="F187" s="123"/>
      <c r="G187" s="123"/>
      <c r="H187" s="123"/>
      <c r="I187" s="123"/>
      <c r="J187" s="123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</row>
    <row r="188">
      <c r="A188" s="122"/>
      <c r="B188" s="122"/>
      <c r="C188" s="122"/>
      <c r="D188" s="122"/>
      <c r="E188" s="122"/>
      <c r="F188" s="123"/>
      <c r="G188" s="123"/>
      <c r="H188" s="123"/>
      <c r="I188" s="123"/>
      <c r="J188" s="123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</row>
    <row r="189">
      <c r="A189" s="122"/>
      <c r="B189" s="122"/>
      <c r="C189" s="122"/>
      <c r="D189" s="122"/>
      <c r="E189" s="122"/>
      <c r="F189" s="123"/>
      <c r="G189" s="123"/>
      <c r="H189" s="123"/>
      <c r="I189" s="123"/>
      <c r="J189" s="123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</row>
    <row r="190">
      <c r="A190" s="122"/>
      <c r="B190" s="122"/>
      <c r="C190" s="122"/>
      <c r="D190" s="122"/>
      <c r="E190" s="122"/>
      <c r="F190" s="123"/>
      <c r="G190" s="123"/>
      <c r="H190" s="123"/>
      <c r="I190" s="123"/>
      <c r="J190" s="123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</row>
    <row r="191">
      <c r="A191" s="122"/>
      <c r="B191" s="122"/>
      <c r="C191" s="122"/>
      <c r="D191" s="122"/>
      <c r="E191" s="122"/>
      <c r="F191" s="123"/>
      <c r="G191" s="123"/>
      <c r="H191" s="123"/>
      <c r="I191" s="123"/>
      <c r="J191" s="123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</row>
    <row r="192">
      <c r="A192" s="122"/>
      <c r="B192" s="122"/>
      <c r="C192" s="122"/>
      <c r="D192" s="122"/>
      <c r="E192" s="122"/>
      <c r="F192" s="123"/>
      <c r="G192" s="123"/>
      <c r="H192" s="123"/>
      <c r="I192" s="123"/>
      <c r="J192" s="123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</row>
    <row r="193">
      <c r="A193" s="122"/>
      <c r="B193" s="122"/>
      <c r="C193" s="122"/>
      <c r="D193" s="122"/>
      <c r="E193" s="122"/>
      <c r="F193" s="123"/>
      <c r="G193" s="123"/>
      <c r="H193" s="123"/>
      <c r="I193" s="123"/>
      <c r="J193" s="123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</row>
    <row r="194">
      <c r="A194" s="122"/>
      <c r="B194" s="122"/>
      <c r="C194" s="122"/>
      <c r="D194" s="122"/>
      <c r="E194" s="122"/>
      <c r="F194" s="123"/>
      <c r="G194" s="123"/>
      <c r="H194" s="123"/>
      <c r="I194" s="123"/>
      <c r="J194" s="123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</row>
    <row r="195">
      <c r="A195" s="122"/>
      <c r="B195" s="122"/>
      <c r="C195" s="122"/>
      <c r="D195" s="122"/>
      <c r="E195" s="122"/>
      <c r="F195" s="123"/>
      <c r="G195" s="123"/>
      <c r="H195" s="123"/>
      <c r="I195" s="123"/>
      <c r="J195" s="123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</row>
    <row r="196">
      <c r="A196" s="122"/>
      <c r="B196" s="122"/>
      <c r="C196" s="122"/>
      <c r="D196" s="122"/>
      <c r="E196" s="122"/>
      <c r="F196" s="123"/>
      <c r="G196" s="123"/>
      <c r="H196" s="123"/>
      <c r="I196" s="123"/>
      <c r="J196" s="123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</row>
    <row r="197">
      <c r="A197" s="122"/>
      <c r="B197" s="122"/>
      <c r="C197" s="122"/>
      <c r="D197" s="122"/>
      <c r="E197" s="122"/>
      <c r="F197" s="123"/>
      <c r="G197" s="123"/>
      <c r="H197" s="123"/>
      <c r="I197" s="123"/>
      <c r="J197" s="123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</row>
    <row r="198">
      <c r="A198" s="122"/>
      <c r="B198" s="122"/>
      <c r="C198" s="122"/>
      <c r="D198" s="122"/>
      <c r="E198" s="122"/>
      <c r="F198" s="123"/>
      <c r="G198" s="123"/>
      <c r="H198" s="123"/>
      <c r="I198" s="123"/>
      <c r="J198" s="123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</row>
    <row r="199">
      <c r="A199" s="122"/>
      <c r="B199" s="122"/>
      <c r="C199" s="122"/>
      <c r="D199" s="122"/>
      <c r="E199" s="122"/>
      <c r="F199" s="123"/>
      <c r="G199" s="123"/>
      <c r="H199" s="123"/>
      <c r="I199" s="123"/>
      <c r="J199" s="123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</row>
    <row r="200">
      <c r="A200" s="122"/>
      <c r="B200" s="122"/>
      <c r="C200" s="122"/>
      <c r="D200" s="122"/>
      <c r="E200" s="122"/>
      <c r="F200" s="123"/>
      <c r="G200" s="123"/>
      <c r="H200" s="123"/>
      <c r="I200" s="123"/>
      <c r="J200" s="123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</row>
    <row r="201">
      <c r="A201" s="122"/>
      <c r="B201" s="122"/>
      <c r="C201" s="122"/>
      <c r="D201" s="122"/>
      <c r="E201" s="122"/>
      <c r="F201" s="123"/>
      <c r="G201" s="123"/>
      <c r="H201" s="123"/>
      <c r="I201" s="123"/>
      <c r="J201" s="123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</row>
    <row r="202">
      <c r="A202" s="122"/>
      <c r="B202" s="122"/>
      <c r="C202" s="122"/>
      <c r="D202" s="122"/>
      <c r="E202" s="122"/>
      <c r="F202" s="123"/>
      <c r="G202" s="123"/>
      <c r="H202" s="123"/>
      <c r="I202" s="123"/>
      <c r="J202" s="123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</row>
    <row r="203">
      <c r="A203" s="122"/>
      <c r="B203" s="122"/>
      <c r="C203" s="122"/>
      <c r="D203" s="122"/>
      <c r="E203" s="122"/>
      <c r="F203" s="123"/>
      <c r="G203" s="123"/>
      <c r="H203" s="123"/>
      <c r="I203" s="123"/>
      <c r="J203" s="123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</row>
    <row r="204">
      <c r="A204" s="122"/>
      <c r="B204" s="122"/>
      <c r="C204" s="122"/>
      <c r="D204" s="122"/>
      <c r="E204" s="122"/>
      <c r="F204" s="123"/>
      <c r="G204" s="123"/>
      <c r="H204" s="123"/>
      <c r="I204" s="123"/>
      <c r="J204" s="123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</row>
    <row r="205">
      <c r="A205" s="122"/>
      <c r="B205" s="122"/>
      <c r="C205" s="122"/>
      <c r="D205" s="122"/>
      <c r="E205" s="122"/>
      <c r="F205" s="123"/>
      <c r="G205" s="123"/>
      <c r="H205" s="123"/>
      <c r="I205" s="123"/>
      <c r="J205" s="123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</row>
    <row r="206">
      <c r="A206" s="122"/>
      <c r="B206" s="122"/>
      <c r="C206" s="122"/>
      <c r="D206" s="122"/>
      <c r="E206" s="122"/>
      <c r="F206" s="123"/>
      <c r="G206" s="123"/>
      <c r="H206" s="123"/>
      <c r="I206" s="123"/>
      <c r="J206" s="123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</row>
    <row r="207">
      <c r="A207" s="122"/>
      <c r="B207" s="122"/>
      <c r="C207" s="122"/>
      <c r="D207" s="122"/>
      <c r="E207" s="122"/>
      <c r="F207" s="123"/>
      <c r="G207" s="123"/>
      <c r="H207" s="123"/>
      <c r="I207" s="123"/>
      <c r="J207" s="123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</row>
    <row r="208">
      <c r="A208" s="122"/>
      <c r="B208" s="122"/>
      <c r="C208" s="122"/>
      <c r="D208" s="122"/>
      <c r="E208" s="122"/>
      <c r="F208" s="123"/>
      <c r="G208" s="123"/>
      <c r="H208" s="123"/>
      <c r="I208" s="123"/>
      <c r="J208" s="123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</row>
    <row r="209">
      <c r="A209" s="122"/>
      <c r="B209" s="122"/>
      <c r="C209" s="122"/>
      <c r="D209" s="122"/>
      <c r="E209" s="122"/>
      <c r="F209" s="123"/>
      <c r="G209" s="123"/>
      <c r="H209" s="123"/>
      <c r="I209" s="123"/>
      <c r="J209" s="123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</row>
    <row r="210">
      <c r="A210" s="122"/>
      <c r="B210" s="122"/>
      <c r="C210" s="122"/>
      <c r="D210" s="122"/>
      <c r="E210" s="122"/>
      <c r="F210" s="123"/>
      <c r="G210" s="123"/>
      <c r="H210" s="123"/>
      <c r="I210" s="123"/>
      <c r="J210" s="123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</row>
    <row r="211">
      <c r="A211" s="122"/>
      <c r="B211" s="122"/>
      <c r="C211" s="122"/>
      <c r="D211" s="122"/>
      <c r="E211" s="122"/>
      <c r="F211" s="123"/>
      <c r="G211" s="123"/>
      <c r="H211" s="123"/>
      <c r="I211" s="123"/>
      <c r="J211" s="123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</row>
    <row r="212">
      <c r="A212" s="122"/>
      <c r="B212" s="122"/>
      <c r="C212" s="122"/>
      <c r="D212" s="122"/>
      <c r="E212" s="122"/>
      <c r="F212" s="123"/>
      <c r="G212" s="123"/>
      <c r="H212" s="123"/>
      <c r="I212" s="123"/>
      <c r="J212" s="123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</row>
    <row r="213">
      <c r="A213" s="122"/>
      <c r="B213" s="122"/>
      <c r="C213" s="122"/>
      <c r="D213" s="122"/>
      <c r="E213" s="122"/>
      <c r="F213" s="123"/>
      <c r="G213" s="123"/>
      <c r="H213" s="123"/>
      <c r="I213" s="123"/>
      <c r="J213" s="123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</row>
    <row r="214">
      <c r="A214" s="122"/>
      <c r="B214" s="122"/>
      <c r="C214" s="122"/>
      <c r="D214" s="122"/>
      <c r="E214" s="122"/>
      <c r="F214" s="123"/>
      <c r="G214" s="123"/>
      <c r="H214" s="123"/>
      <c r="I214" s="123"/>
      <c r="J214" s="123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</row>
    <row r="215">
      <c r="A215" s="122"/>
      <c r="B215" s="122"/>
      <c r="C215" s="122"/>
      <c r="D215" s="122"/>
      <c r="E215" s="122"/>
      <c r="F215" s="123"/>
      <c r="G215" s="123"/>
      <c r="H215" s="123"/>
      <c r="I215" s="123"/>
      <c r="J215" s="123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</row>
    <row r="216">
      <c r="A216" s="122"/>
      <c r="B216" s="122"/>
      <c r="C216" s="122"/>
      <c r="D216" s="122"/>
      <c r="E216" s="122"/>
      <c r="F216" s="123"/>
      <c r="G216" s="123"/>
      <c r="H216" s="123"/>
      <c r="I216" s="123"/>
      <c r="J216" s="123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</row>
    <row r="217">
      <c r="A217" s="122"/>
      <c r="B217" s="122"/>
      <c r="C217" s="122"/>
      <c r="D217" s="122"/>
      <c r="E217" s="122"/>
      <c r="F217" s="123"/>
      <c r="G217" s="123"/>
      <c r="H217" s="123"/>
      <c r="I217" s="123"/>
      <c r="J217" s="123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</row>
    <row r="218">
      <c r="A218" s="122"/>
      <c r="B218" s="122"/>
      <c r="C218" s="122"/>
      <c r="D218" s="122"/>
      <c r="E218" s="122"/>
      <c r="F218" s="123"/>
      <c r="G218" s="123"/>
      <c r="H218" s="123"/>
      <c r="I218" s="123"/>
      <c r="J218" s="123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</row>
    <row r="219">
      <c r="A219" s="122"/>
      <c r="B219" s="122"/>
      <c r="C219" s="122"/>
      <c r="D219" s="122"/>
      <c r="E219" s="122"/>
      <c r="F219" s="123"/>
      <c r="G219" s="123"/>
      <c r="H219" s="123"/>
      <c r="I219" s="123"/>
      <c r="J219" s="123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</row>
    <row r="220">
      <c r="A220" s="122"/>
      <c r="B220" s="122"/>
      <c r="C220" s="122"/>
      <c r="D220" s="122"/>
      <c r="E220" s="122"/>
      <c r="F220" s="123"/>
      <c r="G220" s="123"/>
      <c r="H220" s="123"/>
      <c r="I220" s="123"/>
      <c r="J220" s="123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</row>
    <row r="221">
      <c r="A221" s="122"/>
      <c r="B221" s="122"/>
      <c r="C221" s="122"/>
      <c r="D221" s="122"/>
      <c r="E221" s="122"/>
      <c r="F221" s="123"/>
      <c r="G221" s="123"/>
      <c r="H221" s="123"/>
      <c r="I221" s="123"/>
      <c r="J221" s="123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</row>
    <row r="222">
      <c r="A222" s="122"/>
      <c r="B222" s="122"/>
      <c r="C222" s="122"/>
      <c r="D222" s="122"/>
      <c r="E222" s="122"/>
      <c r="F222" s="123"/>
      <c r="G222" s="123"/>
      <c r="H222" s="123"/>
      <c r="I222" s="123"/>
      <c r="J222" s="123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</row>
    <row r="223">
      <c r="A223" s="122"/>
      <c r="B223" s="122"/>
      <c r="C223" s="122"/>
      <c r="D223" s="122"/>
      <c r="E223" s="122"/>
      <c r="F223" s="123"/>
      <c r="G223" s="123"/>
      <c r="H223" s="123"/>
      <c r="I223" s="123"/>
      <c r="J223" s="123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</row>
    <row r="224">
      <c r="A224" s="122"/>
      <c r="B224" s="122"/>
      <c r="C224" s="122"/>
      <c r="D224" s="122"/>
      <c r="E224" s="122"/>
      <c r="F224" s="123"/>
      <c r="G224" s="123"/>
      <c r="H224" s="123"/>
      <c r="I224" s="123"/>
      <c r="J224" s="123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</row>
    <row r="225">
      <c r="A225" s="122"/>
      <c r="B225" s="122"/>
      <c r="C225" s="122"/>
      <c r="D225" s="122"/>
      <c r="E225" s="122"/>
      <c r="F225" s="123"/>
      <c r="G225" s="123"/>
      <c r="H225" s="123"/>
      <c r="I225" s="123"/>
      <c r="J225" s="123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</row>
    <row r="226">
      <c r="A226" s="122"/>
      <c r="B226" s="122"/>
      <c r="C226" s="122"/>
      <c r="D226" s="122"/>
      <c r="E226" s="122"/>
      <c r="F226" s="123"/>
      <c r="G226" s="123"/>
      <c r="H226" s="123"/>
      <c r="I226" s="123"/>
      <c r="J226" s="123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</row>
    <row r="227">
      <c r="A227" s="122"/>
      <c r="B227" s="122"/>
      <c r="C227" s="122"/>
      <c r="D227" s="122"/>
      <c r="E227" s="122"/>
      <c r="F227" s="123"/>
      <c r="G227" s="123"/>
      <c r="H227" s="123"/>
      <c r="I227" s="123"/>
      <c r="J227" s="123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</row>
    <row r="228">
      <c r="A228" s="122"/>
      <c r="B228" s="122"/>
      <c r="C228" s="122"/>
      <c r="D228" s="122"/>
      <c r="E228" s="122"/>
      <c r="F228" s="123"/>
      <c r="G228" s="123"/>
      <c r="H228" s="123"/>
      <c r="I228" s="123"/>
      <c r="J228" s="123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</row>
    <row r="229">
      <c r="A229" s="122"/>
      <c r="B229" s="122"/>
      <c r="C229" s="122"/>
      <c r="D229" s="122"/>
      <c r="E229" s="122"/>
      <c r="F229" s="123"/>
      <c r="G229" s="123"/>
      <c r="H229" s="123"/>
      <c r="I229" s="123"/>
      <c r="J229" s="123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</row>
    <row r="230">
      <c r="A230" s="122"/>
      <c r="B230" s="122"/>
      <c r="C230" s="122"/>
      <c r="D230" s="122"/>
      <c r="E230" s="122"/>
      <c r="F230" s="123"/>
      <c r="G230" s="123"/>
      <c r="H230" s="123"/>
      <c r="I230" s="123"/>
      <c r="J230" s="123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</row>
    <row r="231">
      <c r="A231" s="122"/>
      <c r="B231" s="122"/>
      <c r="C231" s="122"/>
      <c r="D231" s="122"/>
      <c r="E231" s="122"/>
      <c r="F231" s="123"/>
      <c r="G231" s="123"/>
      <c r="H231" s="123"/>
      <c r="I231" s="123"/>
      <c r="J231" s="123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</row>
    <row r="232">
      <c r="A232" s="122"/>
      <c r="B232" s="122"/>
      <c r="C232" s="122"/>
      <c r="D232" s="122"/>
      <c r="E232" s="122"/>
      <c r="F232" s="123"/>
      <c r="G232" s="123"/>
      <c r="H232" s="123"/>
      <c r="I232" s="123"/>
      <c r="J232" s="123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</row>
    <row r="233">
      <c r="A233" s="122"/>
      <c r="B233" s="122"/>
      <c r="C233" s="122"/>
      <c r="D233" s="122"/>
      <c r="E233" s="122"/>
      <c r="F233" s="123"/>
      <c r="G233" s="123"/>
      <c r="H233" s="123"/>
      <c r="I233" s="123"/>
      <c r="J233" s="123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</row>
    <row r="234">
      <c r="A234" s="122"/>
      <c r="B234" s="122"/>
      <c r="C234" s="122"/>
      <c r="D234" s="122"/>
      <c r="E234" s="122"/>
      <c r="F234" s="123"/>
      <c r="G234" s="123"/>
      <c r="H234" s="123"/>
      <c r="I234" s="123"/>
      <c r="J234" s="123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</row>
    <row r="235">
      <c r="A235" s="122"/>
      <c r="B235" s="122"/>
      <c r="C235" s="122"/>
      <c r="D235" s="122"/>
      <c r="E235" s="122"/>
      <c r="F235" s="123"/>
      <c r="G235" s="123"/>
      <c r="H235" s="123"/>
      <c r="I235" s="123"/>
      <c r="J235" s="123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</row>
    <row r="236">
      <c r="A236" s="122"/>
      <c r="B236" s="122"/>
      <c r="C236" s="122"/>
      <c r="D236" s="122"/>
      <c r="E236" s="122"/>
      <c r="F236" s="123"/>
      <c r="G236" s="123"/>
      <c r="H236" s="123"/>
      <c r="I236" s="123"/>
      <c r="J236" s="123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</row>
    <row r="237">
      <c r="A237" s="122"/>
      <c r="B237" s="122"/>
      <c r="C237" s="122"/>
      <c r="D237" s="122"/>
      <c r="E237" s="122"/>
      <c r="F237" s="123"/>
      <c r="G237" s="123"/>
      <c r="H237" s="123"/>
      <c r="I237" s="123"/>
      <c r="J237" s="123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</row>
    <row r="238">
      <c r="A238" s="122"/>
      <c r="B238" s="122"/>
      <c r="C238" s="122"/>
      <c r="D238" s="122"/>
      <c r="E238" s="122"/>
      <c r="F238" s="123"/>
      <c r="G238" s="123"/>
      <c r="H238" s="123"/>
      <c r="I238" s="123"/>
      <c r="J238" s="123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</row>
    <row r="239">
      <c r="A239" s="122"/>
      <c r="B239" s="122"/>
      <c r="C239" s="122"/>
      <c r="D239" s="122"/>
      <c r="E239" s="122"/>
      <c r="F239" s="123"/>
      <c r="G239" s="123"/>
      <c r="H239" s="123"/>
      <c r="I239" s="123"/>
      <c r="J239" s="123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</row>
    <row r="240">
      <c r="A240" s="122"/>
      <c r="B240" s="122"/>
      <c r="C240" s="122"/>
      <c r="D240" s="122"/>
      <c r="E240" s="122"/>
      <c r="F240" s="123"/>
      <c r="G240" s="123"/>
      <c r="H240" s="123"/>
      <c r="I240" s="123"/>
      <c r="J240" s="123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</row>
    <row r="241">
      <c r="A241" s="122"/>
      <c r="B241" s="122"/>
      <c r="C241" s="122"/>
      <c r="D241" s="122"/>
      <c r="E241" s="122"/>
      <c r="F241" s="123"/>
      <c r="G241" s="123"/>
      <c r="H241" s="123"/>
      <c r="I241" s="123"/>
      <c r="J241" s="123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</row>
    <row r="242">
      <c r="A242" s="122"/>
      <c r="B242" s="122"/>
      <c r="C242" s="122"/>
      <c r="D242" s="122"/>
      <c r="E242" s="122"/>
      <c r="F242" s="123"/>
      <c r="G242" s="123"/>
      <c r="H242" s="123"/>
      <c r="I242" s="123"/>
      <c r="J242" s="123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</row>
    <row r="243">
      <c r="A243" s="122"/>
      <c r="B243" s="122"/>
      <c r="C243" s="122"/>
      <c r="D243" s="122"/>
      <c r="E243" s="122"/>
      <c r="F243" s="123"/>
      <c r="G243" s="123"/>
      <c r="H243" s="123"/>
      <c r="I243" s="123"/>
      <c r="J243" s="123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</row>
    <row r="244">
      <c r="A244" s="122"/>
      <c r="B244" s="122"/>
      <c r="C244" s="122"/>
      <c r="D244" s="122"/>
      <c r="E244" s="122"/>
      <c r="F244" s="123"/>
      <c r="G244" s="123"/>
      <c r="H244" s="123"/>
      <c r="I244" s="123"/>
      <c r="J244" s="123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</row>
    <row r="245">
      <c r="A245" s="122"/>
      <c r="B245" s="122"/>
      <c r="C245" s="122"/>
      <c r="D245" s="122"/>
      <c r="E245" s="122"/>
      <c r="F245" s="123"/>
      <c r="G245" s="123"/>
      <c r="H245" s="123"/>
      <c r="I245" s="123"/>
      <c r="J245" s="123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</row>
    <row r="246">
      <c r="A246" s="122"/>
      <c r="B246" s="122"/>
      <c r="C246" s="122"/>
      <c r="D246" s="122"/>
      <c r="E246" s="122"/>
      <c r="F246" s="123"/>
      <c r="G246" s="123"/>
      <c r="H246" s="123"/>
      <c r="I246" s="123"/>
      <c r="J246" s="123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</row>
    <row r="247">
      <c r="A247" s="122"/>
      <c r="B247" s="122"/>
      <c r="C247" s="122"/>
      <c r="D247" s="122"/>
      <c r="E247" s="122"/>
      <c r="F247" s="123"/>
      <c r="G247" s="123"/>
      <c r="H247" s="123"/>
      <c r="I247" s="123"/>
      <c r="J247" s="123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</row>
    <row r="248">
      <c r="A248" s="122"/>
      <c r="B248" s="122"/>
      <c r="C248" s="122"/>
      <c r="D248" s="122"/>
      <c r="E248" s="122"/>
      <c r="F248" s="123"/>
      <c r="G248" s="123"/>
      <c r="H248" s="123"/>
      <c r="I248" s="123"/>
      <c r="J248" s="123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</row>
    <row r="249">
      <c r="A249" s="122"/>
      <c r="B249" s="122"/>
      <c r="C249" s="122"/>
      <c r="D249" s="122"/>
      <c r="E249" s="122"/>
      <c r="F249" s="123"/>
      <c r="G249" s="123"/>
      <c r="H249" s="123"/>
      <c r="I249" s="123"/>
      <c r="J249" s="123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</row>
    <row r="250">
      <c r="A250" s="122"/>
      <c r="B250" s="122"/>
      <c r="C250" s="122"/>
      <c r="D250" s="122"/>
      <c r="E250" s="122"/>
      <c r="F250" s="123"/>
      <c r="G250" s="123"/>
      <c r="H250" s="123"/>
      <c r="I250" s="123"/>
      <c r="J250" s="123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</row>
    <row r="251">
      <c r="A251" s="122"/>
      <c r="B251" s="122"/>
      <c r="C251" s="122"/>
      <c r="D251" s="122"/>
      <c r="E251" s="122"/>
      <c r="F251" s="123"/>
      <c r="G251" s="123"/>
      <c r="H251" s="123"/>
      <c r="I251" s="123"/>
      <c r="J251" s="123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</row>
    <row r="252">
      <c r="A252" s="122"/>
      <c r="B252" s="122"/>
      <c r="C252" s="122"/>
      <c r="D252" s="122"/>
      <c r="E252" s="122"/>
      <c r="F252" s="123"/>
      <c r="G252" s="123"/>
      <c r="H252" s="123"/>
      <c r="I252" s="123"/>
      <c r="J252" s="123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</row>
    <row r="253">
      <c r="A253" s="122"/>
      <c r="B253" s="122"/>
      <c r="C253" s="122"/>
      <c r="D253" s="122"/>
      <c r="E253" s="122"/>
      <c r="F253" s="123"/>
      <c r="G253" s="123"/>
      <c r="H253" s="123"/>
      <c r="I253" s="123"/>
      <c r="J253" s="123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</row>
    <row r="254">
      <c r="A254" s="122"/>
      <c r="B254" s="122"/>
      <c r="C254" s="122"/>
      <c r="D254" s="122"/>
      <c r="E254" s="122"/>
      <c r="F254" s="123"/>
      <c r="G254" s="123"/>
      <c r="H254" s="123"/>
      <c r="I254" s="123"/>
      <c r="J254" s="123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</row>
    <row r="255">
      <c r="A255" s="122"/>
      <c r="B255" s="122"/>
      <c r="C255" s="122"/>
      <c r="D255" s="122"/>
      <c r="E255" s="122"/>
      <c r="F255" s="123"/>
      <c r="G255" s="123"/>
      <c r="H255" s="123"/>
      <c r="I255" s="123"/>
      <c r="J255" s="123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</row>
    <row r="256">
      <c r="A256" s="122"/>
      <c r="B256" s="122"/>
      <c r="C256" s="122"/>
      <c r="D256" s="122"/>
      <c r="E256" s="122"/>
      <c r="F256" s="123"/>
      <c r="G256" s="123"/>
      <c r="H256" s="123"/>
      <c r="I256" s="123"/>
      <c r="J256" s="123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</row>
    <row r="257">
      <c r="A257" s="122"/>
      <c r="B257" s="122"/>
      <c r="C257" s="122"/>
      <c r="D257" s="122"/>
      <c r="E257" s="122"/>
      <c r="F257" s="123"/>
      <c r="G257" s="123"/>
      <c r="H257" s="123"/>
      <c r="I257" s="123"/>
      <c r="J257" s="123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</row>
    <row r="258">
      <c r="A258" s="122"/>
      <c r="B258" s="122"/>
      <c r="C258" s="122"/>
      <c r="D258" s="122"/>
      <c r="E258" s="122"/>
      <c r="F258" s="123"/>
      <c r="G258" s="123"/>
      <c r="H258" s="123"/>
      <c r="I258" s="123"/>
      <c r="J258" s="123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</row>
    <row r="259">
      <c r="A259" s="122"/>
      <c r="B259" s="122"/>
      <c r="C259" s="122"/>
      <c r="D259" s="122"/>
      <c r="E259" s="122"/>
      <c r="F259" s="123"/>
      <c r="G259" s="123"/>
      <c r="H259" s="123"/>
      <c r="I259" s="123"/>
      <c r="J259" s="123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</row>
    <row r="260">
      <c r="A260" s="122"/>
      <c r="B260" s="122"/>
      <c r="C260" s="122"/>
      <c r="D260" s="122"/>
      <c r="E260" s="122"/>
      <c r="F260" s="123"/>
      <c r="G260" s="123"/>
      <c r="H260" s="123"/>
      <c r="I260" s="123"/>
      <c r="J260" s="123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</row>
    <row r="261">
      <c r="A261" s="122"/>
      <c r="B261" s="122"/>
      <c r="C261" s="122"/>
      <c r="D261" s="122"/>
      <c r="E261" s="122"/>
      <c r="F261" s="123"/>
      <c r="G261" s="123"/>
      <c r="H261" s="123"/>
      <c r="I261" s="123"/>
      <c r="J261" s="123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</row>
    <row r="262">
      <c r="A262" s="122"/>
      <c r="B262" s="122"/>
      <c r="C262" s="122"/>
      <c r="D262" s="122"/>
      <c r="E262" s="122"/>
      <c r="F262" s="123"/>
      <c r="G262" s="123"/>
      <c r="H262" s="123"/>
      <c r="I262" s="123"/>
      <c r="J262" s="123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</row>
    <row r="263">
      <c r="A263" s="122"/>
      <c r="B263" s="122"/>
      <c r="C263" s="122"/>
      <c r="D263" s="122"/>
      <c r="E263" s="122"/>
      <c r="F263" s="123"/>
      <c r="G263" s="123"/>
      <c r="H263" s="123"/>
      <c r="I263" s="123"/>
      <c r="J263" s="123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</row>
    <row r="264">
      <c r="A264" s="122"/>
      <c r="B264" s="122"/>
      <c r="C264" s="122"/>
      <c r="D264" s="122"/>
      <c r="E264" s="122"/>
      <c r="F264" s="123"/>
      <c r="G264" s="123"/>
      <c r="H264" s="123"/>
      <c r="I264" s="123"/>
      <c r="J264" s="123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</row>
    <row r="265">
      <c r="A265" s="122"/>
      <c r="B265" s="122"/>
      <c r="C265" s="122"/>
      <c r="D265" s="122"/>
      <c r="E265" s="122"/>
      <c r="F265" s="123"/>
      <c r="G265" s="123"/>
      <c r="H265" s="123"/>
      <c r="I265" s="123"/>
      <c r="J265" s="123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</row>
    <row r="266">
      <c r="A266" s="122"/>
      <c r="B266" s="122"/>
      <c r="C266" s="122"/>
      <c r="D266" s="122"/>
      <c r="E266" s="122"/>
      <c r="F266" s="123"/>
      <c r="G266" s="123"/>
      <c r="H266" s="123"/>
      <c r="I266" s="123"/>
      <c r="J266" s="123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</row>
    <row r="267">
      <c r="A267" s="122"/>
      <c r="B267" s="122"/>
      <c r="C267" s="122"/>
      <c r="D267" s="122"/>
      <c r="E267" s="122"/>
      <c r="F267" s="123"/>
      <c r="G267" s="123"/>
      <c r="H267" s="123"/>
      <c r="I267" s="123"/>
      <c r="J267" s="123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</row>
    <row r="268">
      <c r="A268" s="122"/>
      <c r="B268" s="122"/>
      <c r="C268" s="122"/>
      <c r="D268" s="122"/>
      <c r="E268" s="122"/>
      <c r="F268" s="123"/>
      <c r="G268" s="123"/>
      <c r="H268" s="123"/>
      <c r="I268" s="123"/>
      <c r="J268" s="123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</row>
    <row r="269">
      <c r="A269" s="122"/>
      <c r="B269" s="122"/>
      <c r="C269" s="122"/>
      <c r="D269" s="122"/>
      <c r="E269" s="122"/>
      <c r="F269" s="123"/>
      <c r="G269" s="123"/>
      <c r="H269" s="123"/>
      <c r="I269" s="123"/>
      <c r="J269" s="123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</row>
    <row r="270">
      <c r="A270" s="122"/>
      <c r="B270" s="122"/>
      <c r="C270" s="122"/>
      <c r="D270" s="122"/>
      <c r="E270" s="122"/>
      <c r="F270" s="123"/>
      <c r="G270" s="123"/>
      <c r="H270" s="123"/>
      <c r="I270" s="123"/>
      <c r="J270" s="123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</row>
    <row r="271">
      <c r="A271" s="122"/>
      <c r="B271" s="122"/>
      <c r="C271" s="122"/>
      <c r="D271" s="122"/>
      <c r="E271" s="122"/>
      <c r="F271" s="123"/>
      <c r="G271" s="123"/>
      <c r="H271" s="123"/>
      <c r="I271" s="123"/>
      <c r="J271" s="123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</row>
    <row r="272">
      <c r="A272" s="122"/>
      <c r="B272" s="122"/>
      <c r="C272" s="122"/>
      <c r="D272" s="122"/>
      <c r="E272" s="122"/>
      <c r="F272" s="123"/>
      <c r="G272" s="123"/>
      <c r="H272" s="123"/>
      <c r="I272" s="123"/>
      <c r="J272" s="123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</row>
    <row r="273">
      <c r="A273" s="122"/>
      <c r="B273" s="122"/>
      <c r="C273" s="122"/>
      <c r="D273" s="122"/>
      <c r="E273" s="122"/>
      <c r="F273" s="123"/>
      <c r="G273" s="123"/>
      <c r="H273" s="123"/>
      <c r="I273" s="123"/>
      <c r="J273" s="123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</row>
    <row r="274">
      <c r="A274" s="122"/>
      <c r="B274" s="122"/>
      <c r="C274" s="122"/>
      <c r="D274" s="122"/>
      <c r="E274" s="122"/>
      <c r="F274" s="123"/>
      <c r="G274" s="123"/>
      <c r="H274" s="123"/>
      <c r="I274" s="123"/>
      <c r="J274" s="123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</row>
    <row r="275">
      <c r="A275" s="122"/>
      <c r="B275" s="122"/>
      <c r="C275" s="122"/>
      <c r="D275" s="122"/>
      <c r="E275" s="122"/>
      <c r="F275" s="123"/>
      <c r="G275" s="123"/>
      <c r="H275" s="123"/>
      <c r="I275" s="123"/>
      <c r="J275" s="123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</row>
    <row r="276">
      <c r="A276" s="122"/>
      <c r="B276" s="122"/>
      <c r="C276" s="122"/>
      <c r="D276" s="122"/>
      <c r="E276" s="122"/>
      <c r="F276" s="123"/>
      <c r="G276" s="123"/>
      <c r="H276" s="123"/>
      <c r="I276" s="123"/>
      <c r="J276" s="123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</row>
    <row r="277">
      <c r="A277" s="122"/>
      <c r="B277" s="122"/>
      <c r="C277" s="122"/>
      <c r="D277" s="122"/>
      <c r="E277" s="122"/>
      <c r="F277" s="123"/>
      <c r="G277" s="123"/>
      <c r="H277" s="123"/>
      <c r="I277" s="123"/>
      <c r="J277" s="123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</row>
    <row r="278">
      <c r="A278" s="122"/>
      <c r="B278" s="122"/>
      <c r="C278" s="122"/>
      <c r="D278" s="122"/>
      <c r="E278" s="122"/>
      <c r="F278" s="123"/>
      <c r="G278" s="123"/>
      <c r="H278" s="123"/>
      <c r="I278" s="123"/>
      <c r="J278" s="123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</row>
    <row r="279">
      <c r="A279" s="122"/>
      <c r="B279" s="122"/>
      <c r="C279" s="122"/>
      <c r="D279" s="122"/>
      <c r="E279" s="122"/>
      <c r="F279" s="123"/>
      <c r="G279" s="123"/>
      <c r="H279" s="123"/>
      <c r="I279" s="123"/>
      <c r="J279" s="123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</row>
    <row r="280">
      <c r="A280" s="122"/>
      <c r="B280" s="122"/>
      <c r="C280" s="122"/>
      <c r="D280" s="122"/>
      <c r="E280" s="122"/>
      <c r="F280" s="123"/>
      <c r="G280" s="123"/>
      <c r="H280" s="123"/>
      <c r="I280" s="123"/>
      <c r="J280" s="123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</row>
    <row r="281">
      <c r="A281" s="122"/>
      <c r="B281" s="122"/>
      <c r="C281" s="122"/>
      <c r="D281" s="122"/>
      <c r="E281" s="122"/>
      <c r="F281" s="123"/>
      <c r="G281" s="123"/>
      <c r="H281" s="123"/>
      <c r="I281" s="123"/>
      <c r="J281" s="123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</row>
    <row r="282">
      <c r="A282" s="122"/>
      <c r="B282" s="122"/>
      <c r="C282" s="122"/>
      <c r="D282" s="122"/>
      <c r="E282" s="122"/>
      <c r="F282" s="123"/>
      <c r="G282" s="123"/>
      <c r="H282" s="123"/>
      <c r="I282" s="123"/>
      <c r="J282" s="123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</row>
    <row r="283">
      <c r="A283" s="122"/>
      <c r="B283" s="122"/>
      <c r="C283" s="122"/>
      <c r="D283" s="122"/>
      <c r="E283" s="122"/>
      <c r="F283" s="123"/>
      <c r="G283" s="123"/>
      <c r="H283" s="123"/>
      <c r="I283" s="123"/>
      <c r="J283" s="123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</row>
    <row r="284">
      <c r="A284" s="122"/>
      <c r="B284" s="122"/>
      <c r="C284" s="122"/>
      <c r="D284" s="122"/>
      <c r="E284" s="122"/>
      <c r="F284" s="123"/>
      <c r="G284" s="123"/>
      <c r="H284" s="123"/>
      <c r="I284" s="123"/>
      <c r="J284" s="123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</row>
    <row r="285">
      <c r="A285" s="122"/>
      <c r="B285" s="122"/>
      <c r="C285" s="122"/>
      <c r="D285" s="122"/>
      <c r="E285" s="122"/>
      <c r="F285" s="123"/>
      <c r="G285" s="123"/>
      <c r="H285" s="123"/>
      <c r="I285" s="123"/>
      <c r="J285" s="123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</row>
    <row r="286">
      <c r="A286" s="122"/>
      <c r="B286" s="122"/>
      <c r="C286" s="122"/>
      <c r="D286" s="122"/>
      <c r="E286" s="122"/>
      <c r="F286" s="123"/>
      <c r="G286" s="123"/>
      <c r="H286" s="123"/>
      <c r="I286" s="123"/>
      <c r="J286" s="123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</row>
    <row r="287">
      <c r="A287" s="122"/>
      <c r="B287" s="122"/>
      <c r="C287" s="122"/>
      <c r="D287" s="122"/>
      <c r="E287" s="122"/>
      <c r="F287" s="123"/>
      <c r="G287" s="123"/>
      <c r="H287" s="123"/>
      <c r="I287" s="123"/>
      <c r="J287" s="123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</row>
    <row r="288">
      <c r="A288" s="122"/>
      <c r="B288" s="122"/>
      <c r="C288" s="122"/>
      <c r="D288" s="122"/>
      <c r="E288" s="122"/>
      <c r="F288" s="123"/>
      <c r="G288" s="123"/>
      <c r="H288" s="123"/>
      <c r="I288" s="123"/>
      <c r="J288" s="123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</row>
    <row r="289">
      <c r="A289" s="122"/>
      <c r="B289" s="122"/>
      <c r="C289" s="122"/>
      <c r="D289" s="122"/>
      <c r="E289" s="122"/>
      <c r="F289" s="123"/>
      <c r="G289" s="123"/>
      <c r="H289" s="123"/>
      <c r="I289" s="123"/>
      <c r="J289" s="123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</row>
    <row r="290">
      <c r="A290" s="122"/>
      <c r="B290" s="122"/>
      <c r="C290" s="122"/>
      <c r="D290" s="122"/>
      <c r="E290" s="122"/>
      <c r="F290" s="123"/>
      <c r="G290" s="123"/>
      <c r="H290" s="123"/>
      <c r="I290" s="123"/>
      <c r="J290" s="123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</row>
    <row r="291">
      <c r="A291" s="122"/>
      <c r="B291" s="122"/>
      <c r="C291" s="122"/>
      <c r="D291" s="122"/>
      <c r="E291" s="122"/>
      <c r="F291" s="123"/>
      <c r="G291" s="123"/>
      <c r="H291" s="123"/>
      <c r="I291" s="123"/>
      <c r="J291" s="123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</row>
    <row r="292">
      <c r="A292" s="122"/>
      <c r="B292" s="122"/>
      <c r="C292" s="122"/>
      <c r="D292" s="122"/>
      <c r="E292" s="122"/>
      <c r="F292" s="123"/>
      <c r="G292" s="123"/>
      <c r="H292" s="123"/>
      <c r="I292" s="123"/>
      <c r="J292" s="123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</row>
    <row r="293">
      <c r="A293" s="122"/>
      <c r="B293" s="122"/>
      <c r="C293" s="122"/>
      <c r="D293" s="122"/>
      <c r="E293" s="122"/>
      <c r="F293" s="123"/>
      <c r="G293" s="123"/>
      <c r="H293" s="123"/>
      <c r="I293" s="123"/>
      <c r="J293" s="123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</row>
    <row r="294">
      <c r="A294" s="122"/>
      <c r="B294" s="122"/>
      <c r="C294" s="122"/>
      <c r="D294" s="122"/>
      <c r="E294" s="122"/>
      <c r="F294" s="123"/>
      <c r="G294" s="123"/>
      <c r="H294" s="123"/>
      <c r="I294" s="123"/>
      <c r="J294" s="123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</row>
    <row r="295">
      <c r="A295" s="122"/>
      <c r="B295" s="122"/>
      <c r="C295" s="122"/>
      <c r="D295" s="122"/>
      <c r="E295" s="122"/>
      <c r="F295" s="123"/>
      <c r="G295" s="123"/>
      <c r="H295" s="123"/>
      <c r="I295" s="123"/>
      <c r="J295" s="123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</row>
    <row r="296">
      <c r="A296" s="122"/>
      <c r="B296" s="122"/>
      <c r="C296" s="122"/>
      <c r="D296" s="122"/>
      <c r="E296" s="122"/>
      <c r="F296" s="123"/>
      <c r="G296" s="123"/>
      <c r="H296" s="123"/>
      <c r="I296" s="123"/>
      <c r="J296" s="123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</row>
    <row r="297">
      <c r="A297" s="122"/>
      <c r="B297" s="122"/>
      <c r="C297" s="122"/>
      <c r="D297" s="122"/>
      <c r="E297" s="122"/>
      <c r="F297" s="123"/>
      <c r="G297" s="123"/>
      <c r="H297" s="123"/>
      <c r="I297" s="123"/>
      <c r="J297" s="123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</row>
    <row r="298">
      <c r="A298" s="122"/>
      <c r="B298" s="122"/>
      <c r="C298" s="122"/>
      <c r="D298" s="122"/>
      <c r="E298" s="122"/>
      <c r="F298" s="123"/>
      <c r="G298" s="123"/>
      <c r="H298" s="123"/>
      <c r="I298" s="123"/>
      <c r="J298" s="123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</row>
    <row r="299">
      <c r="A299" s="122"/>
      <c r="B299" s="122"/>
      <c r="C299" s="122"/>
      <c r="D299" s="122"/>
      <c r="E299" s="122"/>
      <c r="F299" s="123"/>
      <c r="G299" s="123"/>
      <c r="H299" s="123"/>
      <c r="I299" s="123"/>
      <c r="J299" s="123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</row>
    <row r="300">
      <c r="A300" s="122"/>
      <c r="B300" s="122"/>
      <c r="C300" s="122"/>
      <c r="D300" s="122"/>
      <c r="E300" s="122"/>
      <c r="F300" s="123"/>
      <c r="G300" s="123"/>
      <c r="H300" s="123"/>
      <c r="I300" s="123"/>
      <c r="J300" s="123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</row>
    <row r="301">
      <c r="A301" s="122"/>
      <c r="B301" s="122"/>
      <c r="C301" s="122"/>
      <c r="D301" s="122"/>
      <c r="E301" s="122"/>
      <c r="F301" s="123"/>
      <c r="G301" s="123"/>
      <c r="H301" s="123"/>
      <c r="I301" s="123"/>
      <c r="J301" s="123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</row>
    <row r="302">
      <c r="A302" s="122"/>
      <c r="B302" s="122"/>
      <c r="C302" s="122"/>
      <c r="D302" s="122"/>
      <c r="E302" s="122"/>
      <c r="F302" s="123"/>
      <c r="G302" s="123"/>
      <c r="H302" s="123"/>
      <c r="I302" s="123"/>
      <c r="J302" s="123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</row>
    <row r="303">
      <c r="A303" s="122"/>
      <c r="B303" s="122"/>
      <c r="C303" s="122"/>
      <c r="D303" s="122"/>
      <c r="E303" s="122"/>
      <c r="F303" s="123"/>
      <c r="G303" s="123"/>
      <c r="H303" s="123"/>
      <c r="I303" s="123"/>
      <c r="J303" s="123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</row>
    <row r="304">
      <c r="A304" s="122"/>
      <c r="B304" s="122"/>
      <c r="C304" s="122"/>
      <c r="D304" s="122"/>
      <c r="E304" s="122"/>
      <c r="F304" s="123"/>
      <c r="G304" s="123"/>
      <c r="H304" s="123"/>
      <c r="I304" s="123"/>
      <c r="J304" s="123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</row>
    <row r="305">
      <c r="A305" s="122"/>
      <c r="B305" s="122"/>
      <c r="C305" s="122"/>
      <c r="D305" s="122"/>
      <c r="E305" s="122"/>
      <c r="F305" s="123"/>
      <c r="G305" s="123"/>
      <c r="H305" s="123"/>
      <c r="I305" s="123"/>
      <c r="J305" s="123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</row>
    <row r="306">
      <c r="A306" s="122"/>
      <c r="B306" s="122"/>
      <c r="C306" s="122"/>
      <c r="D306" s="122"/>
      <c r="E306" s="122"/>
      <c r="F306" s="123"/>
      <c r="G306" s="123"/>
      <c r="H306" s="123"/>
      <c r="I306" s="123"/>
      <c r="J306" s="123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</row>
    <row r="307">
      <c r="A307" s="122"/>
      <c r="B307" s="122"/>
      <c r="C307" s="122"/>
      <c r="D307" s="122"/>
      <c r="E307" s="122"/>
      <c r="F307" s="123"/>
      <c r="G307" s="123"/>
      <c r="H307" s="123"/>
      <c r="I307" s="123"/>
      <c r="J307" s="123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</row>
    <row r="308">
      <c r="A308" s="122"/>
      <c r="B308" s="122"/>
      <c r="C308" s="122"/>
      <c r="D308" s="122"/>
      <c r="E308" s="122"/>
      <c r="F308" s="123"/>
      <c r="G308" s="123"/>
      <c r="H308" s="123"/>
      <c r="I308" s="123"/>
      <c r="J308" s="123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</row>
    <row r="309">
      <c r="A309" s="122"/>
      <c r="B309" s="122"/>
      <c r="C309" s="122"/>
      <c r="D309" s="122"/>
      <c r="E309" s="122"/>
      <c r="F309" s="123"/>
      <c r="G309" s="123"/>
      <c r="H309" s="123"/>
      <c r="I309" s="123"/>
      <c r="J309" s="123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</row>
    <row r="310">
      <c r="A310" s="122"/>
      <c r="B310" s="122"/>
      <c r="C310" s="122"/>
      <c r="D310" s="122"/>
      <c r="E310" s="122"/>
      <c r="F310" s="123"/>
      <c r="G310" s="123"/>
      <c r="H310" s="123"/>
      <c r="I310" s="123"/>
      <c r="J310" s="123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</row>
    <row r="311">
      <c r="A311" s="122"/>
      <c r="B311" s="122"/>
      <c r="C311" s="122"/>
      <c r="D311" s="122"/>
      <c r="E311" s="122"/>
      <c r="F311" s="123"/>
      <c r="G311" s="123"/>
      <c r="H311" s="123"/>
      <c r="I311" s="123"/>
      <c r="J311" s="123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</row>
    <row r="312">
      <c r="A312" s="122"/>
      <c r="B312" s="122"/>
      <c r="C312" s="122"/>
      <c r="D312" s="122"/>
      <c r="E312" s="122"/>
      <c r="F312" s="123"/>
      <c r="G312" s="123"/>
      <c r="H312" s="123"/>
      <c r="I312" s="123"/>
      <c r="J312" s="123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</row>
    <row r="313">
      <c r="A313" s="122"/>
      <c r="B313" s="122"/>
      <c r="C313" s="122"/>
      <c r="D313" s="122"/>
      <c r="E313" s="122"/>
      <c r="F313" s="123"/>
      <c r="G313" s="123"/>
      <c r="H313" s="123"/>
      <c r="I313" s="123"/>
      <c r="J313" s="123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</row>
    <row r="314">
      <c r="A314" s="122"/>
      <c r="B314" s="122"/>
      <c r="C314" s="122"/>
      <c r="D314" s="122"/>
      <c r="E314" s="122"/>
      <c r="F314" s="123"/>
      <c r="G314" s="123"/>
      <c r="H314" s="123"/>
      <c r="I314" s="123"/>
      <c r="J314" s="123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</row>
    <row r="315">
      <c r="A315" s="122"/>
      <c r="B315" s="122"/>
      <c r="C315" s="122"/>
      <c r="D315" s="122"/>
      <c r="E315" s="122"/>
      <c r="F315" s="123"/>
      <c r="G315" s="123"/>
      <c r="H315" s="123"/>
      <c r="I315" s="123"/>
      <c r="J315" s="123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</row>
    <row r="316">
      <c r="A316" s="122"/>
      <c r="B316" s="122"/>
      <c r="C316" s="122"/>
      <c r="D316" s="122"/>
      <c r="E316" s="122"/>
      <c r="F316" s="123"/>
      <c r="G316" s="123"/>
      <c r="H316" s="123"/>
      <c r="I316" s="123"/>
      <c r="J316" s="123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</row>
    <row r="317">
      <c r="A317" s="122"/>
      <c r="B317" s="122"/>
      <c r="C317" s="122"/>
      <c r="D317" s="122"/>
      <c r="E317" s="122"/>
      <c r="F317" s="123"/>
      <c r="G317" s="123"/>
      <c r="H317" s="123"/>
      <c r="I317" s="123"/>
      <c r="J317" s="123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</row>
    <row r="318">
      <c r="A318" s="122"/>
      <c r="B318" s="122"/>
      <c r="C318" s="122"/>
      <c r="D318" s="122"/>
      <c r="E318" s="122"/>
      <c r="F318" s="123"/>
      <c r="G318" s="123"/>
      <c r="H318" s="123"/>
      <c r="I318" s="123"/>
      <c r="J318" s="123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</row>
    <row r="319">
      <c r="A319" s="122"/>
      <c r="B319" s="122"/>
      <c r="C319" s="122"/>
      <c r="D319" s="122"/>
      <c r="E319" s="122"/>
      <c r="F319" s="123"/>
      <c r="G319" s="123"/>
      <c r="H319" s="123"/>
      <c r="I319" s="123"/>
      <c r="J319" s="123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</row>
    <row r="320">
      <c r="A320" s="122"/>
      <c r="B320" s="122"/>
      <c r="C320" s="122"/>
      <c r="D320" s="122"/>
      <c r="E320" s="122"/>
      <c r="F320" s="123"/>
      <c r="G320" s="123"/>
      <c r="H320" s="123"/>
      <c r="I320" s="123"/>
      <c r="J320" s="123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</row>
    <row r="321">
      <c r="A321" s="122"/>
      <c r="B321" s="122"/>
      <c r="C321" s="122"/>
      <c r="D321" s="122"/>
      <c r="E321" s="122"/>
      <c r="F321" s="123"/>
      <c r="G321" s="123"/>
      <c r="H321" s="123"/>
      <c r="I321" s="123"/>
      <c r="J321" s="123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</row>
    <row r="322">
      <c r="A322" s="122"/>
      <c r="B322" s="122"/>
      <c r="C322" s="122"/>
      <c r="D322" s="122"/>
      <c r="E322" s="122"/>
      <c r="F322" s="123"/>
      <c r="G322" s="123"/>
      <c r="H322" s="123"/>
      <c r="I322" s="123"/>
      <c r="J322" s="123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</row>
    <row r="323">
      <c r="A323" s="122"/>
      <c r="B323" s="122"/>
      <c r="C323" s="122"/>
      <c r="D323" s="122"/>
      <c r="E323" s="122"/>
      <c r="F323" s="123"/>
      <c r="G323" s="123"/>
      <c r="H323" s="123"/>
      <c r="I323" s="123"/>
      <c r="J323" s="123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</row>
    <row r="324">
      <c r="A324" s="122"/>
      <c r="B324" s="122"/>
      <c r="C324" s="122"/>
      <c r="D324" s="122"/>
      <c r="E324" s="122"/>
      <c r="F324" s="123"/>
      <c r="G324" s="123"/>
      <c r="H324" s="123"/>
      <c r="I324" s="123"/>
      <c r="J324" s="123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</row>
    <row r="325">
      <c r="A325" s="122"/>
      <c r="B325" s="122"/>
      <c r="C325" s="122"/>
      <c r="D325" s="122"/>
      <c r="E325" s="122"/>
      <c r="F325" s="123"/>
      <c r="G325" s="123"/>
      <c r="H325" s="123"/>
      <c r="I325" s="123"/>
      <c r="J325" s="123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</row>
    <row r="326">
      <c r="A326" s="122"/>
      <c r="B326" s="122"/>
      <c r="C326" s="122"/>
      <c r="D326" s="122"/>
      <c r="E326" s="122"/>
      <c r="F326" s="123"/>
      <c r="G326" s="123"/>
      <c r="H326" s="123"/>
      <c r="I326" s="123"/>
      <c r="J326" s="123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</row>
    <row r="327">
      <c r="A327" s="122"/>
      <c r="B327" s="122"/>
      <c r="C327" s="122"/>
      <c r="D327" s="122"/>
      <c r="E327" s="122"/>
      <c r="F327" s="123"/>
      <c r="G327" s="123"/>
      <c r="H327" s="123"/>
      <c r="I327" s="123"/>
      <c r="J327" s="123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</row>
    <row r="328">
      <c r="A328" s="122"/>
      <c r="B328" s="122"/>
      <c r="C328" s="122"/>
      <c r="D328" s="122"/>
      <c r="E328" s="122"/>
      <c r="F328" s="123"/>
      <c r="G328" s="123"/>
      <c r="H328" s="123"/>
      <c r="I328" s="123"/>
      <c r="J328" s="123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</row>
    <row r="329">
      <c r="A329" s="122"/>
      <c r="B329" s="122"/>
      <c r="C329" s="122"/>
      <c r="D329" s="122"/>
      <c r="E329" s="122"/>
      <c r="F329" s="123"/>
      <c r="G329" s="123"/>
      <c r="H329" s="123"/>
      <c r="I329" s="123"/>
      <c r="J329" s="123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</row>
    <row r="330">
      <c r="A330" s="122"/>
      <c r="B330" s="122"/>
      <c r="C330" s="122"/>
      <c r="D330" s="122"/>
      <c r="E330" s="122"/>
      <c r="F330" s="123"/>
      <c r="G330" s="123"/>
      <c r="H330" s="123"/>
      <c r="I330" s="123"/>
      <c r="J330" s="123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</row>
    <row r="331">
      <c r="A331" s="122"/>
      <c r="B331" s="122"/>
      <c r="C331" s="122"/>
      <c r="D331" s="122"/>
      <c r="E331" s="122"/>
      <c r="F331" s="123"/>
      <c r="G331" s="123"/>
      <c r="H331" s="123"/>
      <c r="I331" s="123"/>
      <c r="J331" s="123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</row>
    <row r="332">
      <c r="A332" s="122"/>
      <c r="B332" s="122"/>
      <c r="C332" s="122"/>
      <c r="D332" s="122"/>
      <c r="E332" s="122"/>
      <c r="F332" s="123"/>
      <c r="G332" s="123"/>
      <c r="H332" s="123"/>
      <c r="I332" s="123"/>
      <c r="J332" s="123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</row>
    <row r="333">
      <c r="A333" s="122"/>
      <c r="B333" s="122"/>
      <c r="C333" s="122"/>
      <c r="D333" s="122"/>
      <c r="E333" s="122"/>
      <c r="F333" s="123"/>
      <c r="G333" s="123"/>
      <c r="H333" s="123"/>
      <c r="I333" s="123"/>
      <c r="J333" s="123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</row>
    <row r="334">
      <c r="A334" s="122"/>
      <c r="B334" s="122"/>
      <c r="C334" s="122"/>
      <c r="D334" s="122"/>
      <c r="E334" s="122"/>
      <c r="F334" s="123"/>
      <c r="G334" s="123"/>
      <c r="H334" s="123"/>
      <c r="I334" s="123"/>
      <c r="J334" s="123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</row>
    <row r="335">
      <c r="A335" s="122"/>
      <c r="B335" s="122"/>
      <c r="C335" s="122"/>
      <c r="D335" s="122"/>
      <c r="E335" s="122"/>
      <c r="F335" s="123"/>
      <c r="G335" s="123"/>
      <c r="H335" s="123"/>
      <c r="I335" s="123"/>
      <c r="J335" s="123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</row>
    <row r="336">
      <c r="A336" s="122"/>
      <c r="B336" s="122"/>
      <c r="C336" s="122"/>
      <c r="D336" s="122"/>
      <c r="E336" s="122"/>
      <c r="F336" s="123"/>
      <c r="G336" s="123"/>
      <c r="H336" s="123"/>
      <c r="I336" s="123"/>
      <c r="J336" s="123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</row>
    <row r="337">
      <c r="A337" s="122"/>
      <c r="B337" s="122"/>
      <c r="C337" s="122"/>
      <c r="D337" s="122"/>
      <c r="E337" s="122"/>
      <c r="F337" s="123"/>
      <c r="G337" s="123"/>
      <c r="H337" s="123"/>
      <c r="I337" s="123"/>
      <c r="J337" s="123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</row>
    <row r="338">
      <c r="A338" s="122"/>
      <c r="B338" s="122"/>
      <c r="C338" s="122"/>
      <c r="D338" s="122"/>
      <c r="E338" s="122"/>
      <c r="F338" s="123"/>
      <c r="G338" s="123"/>
      <c r="H338" s="123"/>
      <c r="I338" s="123"/>
      <c r="J338" s="123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</row>
    <row r="339">
      <c r="A339" s="122"/>
      <c r="B339" s="122"/>
      <c r="C339" s="122"/>
      <c r="D339" s="122"/>
      <c r="E339" s="122"/>
      <c r="F339" s="123"/>
      <c r="G339" s="123"/>
      <c r="H339" s="123"/>
      <c r="I339" s="123"/>
      <c r="J339" s="123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</row>
    <row r="340">
      <c r="A340" s="122"/>
      <c r="B340" s="122"/>
      <c r="C340" s="122"/>
      <c r="D340" s="122"/>
      <c r="E340" s="122"/>
      <c r="F340" s="123"/>
      <c r="G340" s="123"/>
      <c r="H340" s="123"/>
      <c r="I340" s="123"/>
      <c r="J340" s="123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</row>
    <row r="341">
      <c r="A341" s="122"/>
      <c r="B341" s="122"/>
      <c r="C341" s="122"/>
      <c r="D341" s="122"/>
      <c r="E341" s="122"/>
      <c r="F341" s="123"/>
      <c r="G341" s="123"/>
      <c r="H341" s="123"/>
      <c r="I341" s="123"/>
      <c r="J341" s="123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</row>
    <row r="342">
      <c r="A342" s="122"/>
      <c r="B342" s="122"/>
      <c r="C342" s="122"/>
      <c r="D342" s="122"/>
      <c r="E342" s="122"/>
      <c r="F342" s="123"/>
      <c r="G342" s="123"/>
      <c r="H342" s="123"/>
      <c r="I342" s="123"/>
      <c r="J342" s="123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</row>
    <row r="343">
      <c r="A343" s="122"/>
      <c r="B343" s="122"/>
      <c r="C343" s="122"/>
      <c r="D343" s="122"/>
      <c r="E343" s="122"/>
      <c r="F343" s="123"/>
      <c r="G343" s="123"/>
      <c r="H343" s="123"/>
      <c r="I343" s="123"/>
      <c r="J343" s="123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</row>
    <row r="344">
      <c r="A344" s="122"/>
      <c r="B344" s="122"/>
      <c r="C344" s="122"/>
      <c r="D344" s="122"/>
      <c r="E344" s="122"/>
      <c r="F344" s="123"/>
      <c r="G344" s="123"/>
      <c r="H344" s="123"/>
      <c r="I344" s="123"/>
      <c r="J344" s="123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</row>
    <row r="345">
      <c r="A345" s="122"/>
      <c r="B345" s="122"/>
      <c r="C345" s="122"/>
      <c r="D345" s="122"/>
      <c r="E345" s="122"/>
      <c r="F345" s="123"/>
      <c r="G345" s="123"/>
      <c r="H345" s="123"/>
      <c r="I345" s="123"/>
      <c r="J345" s="123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</row>
    <row r="346">
      <c r="A346" s="122"/>
      <c r="B346" s="122"/>
      <c r="C346" s="122"/>
      <c r="D346" s="122"/>
      <c r="E346" s="122"/>
      <c r="F346" s="123"/>
      <c r="G346" s="123"/>
      <c r="H346" s="123"/>
      <c r="I346" s="123"/>
      <c r="J346" s="123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</row>
    <row r="347">
      <c r="A347" s="122"/>
      <c r="B347" s="122"/>
      <c r="C347" s="122"/>
      <c r="D347" s="122"/>
      <c r="E347" s="122"/>
      <c r="F347" s="123"/>
      <c r="G347" s="123"/>
      <c r="H347" s="123"/>
      <c r="I347" s="123"/>
      <c r="J347" s="123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</row>
    <row r="348">
      <c r="A348" s="122"/>
      <c r="B348" s="122"/>
      <c r="C348" s="122"/>
      <c r="D348" s="122"/>
      <c r="E348" s="122"/>
      <c r="F348" s="123"/>
      <c r="G348" s="123"/>
      <c r="H348" s="123"/>
      <c r="I348" s="123"/>
      <c r="J348" s="123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</row>
    <row r="349">
      <c r="A349" s="122"/>
      <c r="B349" s="122"/>
      <c r="C349" s="122"/>
      <c r="D349" s="122"/>
      <c r="E349" s="122"/>
      <c r="F349" s="123"/>
      <c r="G349" s="123"/>
      <c r="H349" s="123"/>
      <c r="I349" s="123"/>
      <c r="J349" s="123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</row>
    <row r="350">
      <c r="A350" s="122"/>
      <c r="B350" s="122"/>
      <c r="C350" s="122"/>
      <c r="D350" s="122"/>
      <c r="E350" s="122"/>
      <c r="F350" s="123"/>
      <c r="G350" s="123"/>
      <c r="H350" s="123"/>
      <c r="I350" s="123"/>
      <c r="J350" s="123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</row>
    <row r="351">
      <c r="A351" s="122"/>
      <c r="B351" s="122"/>
      <c r="C351" s="122"/>
      <c r="D351" s="122"/>
      <c r="E351" s="122"/>
      <c r="F351" s="123"/>
      <c r="G351" s="123"/>
      <c r="H351" s="123"/>
      <c r="I351" s="123"/>
      <c r="J351" s="123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</row>
    <row r="352">
      <c r="A352" s="122"/>
      <c r="B352" s="122"/>
      <c r="C352" s="122"/>
      <c r="D352" s="122"/>
      <c r="E352" s="122"/>
      <c r="F352" s="123"/>
      <c r="G352" s="123"/>
      <c r="H352" s="123"/>
      <c r="I352" s="123"/>
      <c r="J352" s="123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</row>
    <row r="353">
      <c r="A353" s="122"/>
      <c r="B353" s="122"/>
      <c r="C353" s="122"/>
      <c r="D353" s="122"/>
      <c r="E353" s="122"/>
      <c r="F353" s="123"/>
      <c r="G353" s="123"/>
      <c r="H353" s="123"/>
      <c r="I353" s="123"/>
      <c r="J353" s="123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</row>
    <row r="354">
      <c r="A354" s="122"/>
      <c r="B354" s="122"/>
      <c r="C354" s="122"/>
      <c r="D354" s="122"/>
      <c r="E354" s="122"/>
      <c r="F354" s="123"/>
      <c r="G354" s="123"/>
      <c r="H354" s="123"/>
      <c r="I354" s="123"/>
      <c r="J354" s="123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</row>
    <row r="355">
      <c r="A355" s="122"/>
      <c r="B355" s="122"/>
      <c r="C355" s="122"/>
      <c r="D355" s="122"/>
      <c r="E355" s="122"/>
      <c r="F355" s="123"/>
      <c r="G355" s="123"/>
      <c r="H355" s="123"/>
      <c r="I355" s="123"/>
      <c r="J355" s="123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</row>
    <row r="356">
      <c r="A356" s="122"/>
      <c r="B356" s="122"/>
      <c r="C356" s="122"/>
      <c r="D356" s="122"/>
      <c r="E356" s="122"/>
      <c r="F356" s="123"/>
      <c r="G356" s="123"/>
      <c r="H356" s="123"/>
      <c r="I356" s="123"/>
      <c r="J356" s="123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</row>
    <row r="357">
      <c r="A357" s="122"/>
      <c r="B357" s="122"/>
      <c r="C357" s="122"/>
      <c r="D357" s="122"/>
      <c r="E357" s="122"/>
      <c r="F357" s="123"/>
      <c r="G357" s="123"/>
      <c r="H357" s="123"/>
      <c r="I357" s="123"/>
      <c r="J357" s="123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</row>
    <row r="358">
      <c r="A358" s="122"/>
      <c r="B358" s="122"/>
      <c r="C358" s="122"/>
      <c r="D358" s="122"/>
      <c r="E358" s="122"/>
      <c r="F358" s="123"/>
      <c r="G358" s="123"/>
      <c r="H358" s="123"/>
      <c r="I358" s="123"/>
      <c r="J358" s="123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</row>
    <row r="359">
      <c r="A359" s="122"/>
      <c r="B359" s="122"/>
      <c r="C359" s="122"/>
      <c r="D359" s="122"/>
      <c r="E359" s="122"/>
      <c r="F359" s="123"/>
      <c r="G359" s="123"/>
      <c r="H359" s="123"/>
      <c r="I359" s="123"/>
      <c r="J359" s="123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</row>
    <row r="360">
      <c r="A360" s="122"/>
      <c r="B360" s="122"/>
      <c r="C360" s="122"/>
      <c r="D360" s="122"/>
      <c r="E360" s="122"/>
      <c r="F360" s="123"/>
      <c r="G360" s="123"/>
      <c r="H360" s="123"/>
      <c r="I360" s="123"/>
      <c r="J360" s="123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</row>
    <row r="361">
      <c r="A361" s="122"/>
      <c r="B361" s="122"/>
      <c r="C361" s="122"/>
      <c r="D361" s="122"/>
      <c r="E361" s="122"/>
      <c r="F361" s="123"/>
      <c r="G361" s="123"/>
      <c r="H361" s="123"/>
      <c r="I361" s="123"/>
      <c r="J361" s="123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</row>
    <row r="362">
      <c r="A362" s="122"/>
      <c r="B362" s="122"/>
      <c r="C362" s="122"/>
      <c r="D362" s="122"/>
      <c r="E362" s="122"/>
      <c r="F362" s="123"/>
      <c r="G362" s="123"/>
      <c r="H362" s="123"/>
      <c r="I362" s="123"/>
      <c r="J362" s="123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</row>
    <row r="363">
      <c r="A363" s="122"/>
      <c r="B363" s="122"/>
      <c r="C363" s="122"/>
      <c r="D363" s="122"/>
      <c r="E363" s="122"/>
      <c r="F363" s="123"/>
      <c r="G363" s="123"/>
      <c r="H363" s="123"/>
      <c r="I363" s="123"/>
      <c r="J363" s="123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</row>
    <row r="364">
      <c r="A364" s="122"/>
      <c r="B364" s="122"/>
      <c r="C364" s="122"/>
      <c r="D364" s="122"/>
      <c r="E364" s="122"/>
      <c r="F364" s="123"/>
      <c r="G364" s="123"/>
      <c r="H364" s="123"/>
      <c r="I364" s="123"/>
      <c r="J364" s="123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</row>
    <row r="365">
      <c r="A365" s="122"/>
      <c r="B365" s="122"/>
      <c r="C365" s="122"/>
      <c r="D365" s="122"/>
      <c r="E365" s="122"/>
      <c r="F365" s="123"/>
      <c r="G365" s="123"/>
      <c r="H365" s="123"/>
      <c r="I365" s="123"/>
      <c r="J365" s="123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</row>
    <row r="366">
      <c r="A366" s="122"/>
      <c r="B366" s="122"/>
      <c r="C366" s="122"/>
      <c r="D366" s="122"/>
      <c r="E366" s="122"/>
      <c r="F366" s="123"/>
      <c r="G366" s="123"/>
      <c r="H366" s="123"/>
      <c r="I366" s="123"/>
      <c r="J366" s="123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</row>
    <row r="367">
      <c r="A367" s="122"/>
      <c r="B367" s="122"/>
      <c r="C367" s="122"/>
      <c r="D367" s="122"/>
      <c r="E367" s="122"/>
      <c r="F367" s="123"/>
      <c r="G367" s="123"/>
      <c r="H367" s="123"/>
      <c r="I367" s="123"/>
      <c r="J367" s="123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</row>
    <row r="368">
      <c r="A368" s="122"/>
      <c r="B368" s="122"/>
      <c r="C368" s="122"/>
      <c r="D368" s="122"/>
      <c r="E368" s="122"/>
      <c r="F368" s="123"/>
      <c r="G368" s="123"/>
      <c r="H368" s="123"/>
      <c r="I368" s="123"/>
      <c r="J368" s="123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</row>
    <row r="369">
      <c r="A369" s="122"/>
      <c r="B369" s="122"/>
      <c r="C369" s="122"/>
      <c r="D369" s="122"/>
      <c r="E369" s="122"/>
      <c r="F369" s="123"/>
      <c r="G369" s="123"/>
      <c r="H369" s="123"/>
      <c r="I369" s="123"/>
      <c r="J369" s="123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</row>
    <row r="370">
      <c r="A370" s="122"/>
      <c r="B370" s="122"/>
      <c r="C370" s="122"/>
      <c r="D370" s="122"/>
      <c r="E370" s="122"/>
      <c r="F370" s="123"/>
      <c r="G370" s="123"/>
      <c r="H370" s="123"/>
      <c r="I370" s="123"/>
      <c r="J370" s="123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</row>
    <row r="371">
      <c r="A371" s="122"/>
      <c r="B371" s="122"/>
      <c r="C371" s="122"/>
      <c r="D371" s="122"/>
      <c r="E371" s="122"/>
      <c r="F371" s="123"/>
      <c r="G371" s="123"/>
      <c r="H371" s="123"/>
      <c r="I371" s="123"/>
      <c r="J371" s="123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</row>
    <row r="372">
      <c r="A372" s="122"/>
      <c r="B372" s="122"/>
      <c r="C372" s="122"/>
      <c r="D372" s="122"/>
      <c r="E372" s="122"/>
      <c r="F372" s="123"/>
      <c r="G372" s="123"/>
      <c r="H372" s="123"/>
      <c r="I372" s="123"/>
      <c r="J372" s="123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</row>
    <row r="373">
      <c r="A373" s="122"/>
      <c r="B373" s="122"/>
      <c r="C373" s="122"/>
      <c r="D373" s="122"/>
      <c r="E373" s="122"/>
      <c r="F373" s="123"/>
      <c r="G373" s="123"/>
      <c r="H373" s="123"/>
      <c r="I373" s="123"/>
      <c r="J373" s="123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</row>
    <row r="374">
      <c r="A374" s="122"/>
      <c r="B374" s="122"/>
      <c r="C374" s="122"/>
      <c r="D374" s="122"/>
      <c r="E374" s="122"/>
      <c r="F374" s="123"/>
      <c r="G374" s="123"/>
      <c r="H374" s="123"/>
      <c r="I374" s="123"/>
      <c r="J374" s="123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</row>
    <row r="375">
      <c r="A375" s="122"/>
      <c r="B375" s="122"/>
      <c r="C375" s="122"/>
      <c r="D375" s="122"/>
      <c r="E375" s="122"/>
      <c r="F375" s="123"/>
      <c r="G375" s="123"/>
      <c r="H375" s="123"/>
      <c r="I375" s="123"/>
      <c r="J375" s="123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</row>
    <row r="376">
      <c r="A376" s="122"/>
      <c r="B376" s="122"/>
      <c r="C376" s="122"/>
      <c r="D376" s="122"/>
      <c r="E376" s="122"/>
      <c r="F376" s="123"/>
      <c r="G376" s="123"/>
      <c r="H376" s="123"/>
      <c r="I376" s="123"/>
      <c r="J376" s="123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</row>
    <row r="377">
      <c r="A377" s="122"/>
      <c r="B377" s="122"/>
      <c r="C377" s="122"/>
      <c r="D377" s="122"/>
      <c r="E377" s="122"/>
      <c r="F377" s="123"/>
      <c r="G377" s="123"/>
      <c r="H377" s="123"/>
      <c r="I377" s="123"/>
      <c r="J377" s="123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</row>
    <row r="378">
      <c r="A378" s="122"/>
      <c r="B378" s="122"/>
      <c r="C378" s="122"/>
      <c r="D378" s="122"/>
      <c r="E378" s="122"/>
      <c r="F378" s="123"/>
      <c r="G378" s="123"/>
      <c r="H378" s="123"/>
      <c r="I378" s="123"/>
      <c r="J378" s="123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</row>
    <row r="379">
      <c r="A379" s="122"/>
      <c r="B379" s="122"/>
      <c r="C379" s="122"/>
      <c r="D379" s="122"/>
      <c r="E379" s="122"/>
      <c r="F379" s="123"/>
      <c r="G379" s="123"/>
      <c r="H379" s="123"/>
      <c r="I379" s="123"/>
      <c r="J379" s="123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</row>
    <row r="380">
      <c r="A380" s="122"/>
      <c r="B380" s="122"/>
      <c r="C380" s="122"/>
      <c r="D380" s="122"/>
      <c r="E380" s="122"/>
      <c r="F380" s="123"/>
      <c r="G380" s="123"/>
      <c r="H380" s="123"/>
      <c r="I380" s="123"/>
      <c r="J380" s="123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</row>
    <row r="381">
      <c r="A381" s="122"/>
      <c r="B381" s="122"/>
      <c r="C381" s="122"/>
      <c r="D381" s="122"/>
      <c r="E381" s="122"/>
      <c r="F381" s="123"/>
      <c r="G381" s="123"/>
      <c r="H381" s="123"/>
      <c r="I381" s="123"/>
      <c r="J381" s="123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</row>
    <row r="382">
      <c r="A382" s="122"/>
      <c r="B382" s="122"/>
      <c r="C382" s="122"/>
      <c r="D382" s="122"/>
      <c r="E382" s="122"/>
      <c r="F382" s="123"/>
      <c r="G382" s="123"/>
      <c r="H382" s="123"/>
      <c r="I382" s="123"/>
      <c r="J382" s="123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</row>
    <row r="383">
      <c r="A383" s="122"/>
      <c r="B383" s="122"/>
      <c r="C383" s="122"/>
      <c r="D383" s="122"/>
      <c r="E383" s="122"/>
      <c r="F383" s="123"/>
      <c r="G383" s="123"/>
      <c r="H383" s="123"/>
      <c r="I383" s="123"/>
      <c r="J383" s="123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</row>
    <row r="384">
      <c r="A384" s="122"/>
      <c r="B384" s="122"/>
      <c r="C384" s="122"/>
      <c r="D384" s="122"/>
      <c r="E384" s="122"/>
      <c r="F384" s="123"/>
      <c r="G384" s="123"/>
      <c r="H384" s="123"/>
      <c r="I384" s="123"/>
      <c r="J384" s="123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</row>
    <row r="385">
      <c r="A385" s="122"/>
      <c r="B385" s="122"/>
      <c r="C385" s="122"/>
      <c r="D385" s="122"/>
      <c r="E385" s="122"/>
      <c r="F385" s="123"/>
      <c r="G385" s="123"/>
      <c r="H385" s="123"/>
      <c r="I385" s="123"/>
      <c r="J385" s="123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</row>
    <row r="386">
      <c r="A386" s="122"/>
      <c r="B386" s="122"/>
      <c r="C386" s="122"/>
      <c r="D386" s="122"/>
      <c r="E386" s="122"/>
      <c r="F386" s="123"/>
      <c r="G386" s="123"/>
      <c r="H386" s="123"/>
      <c r="I386" s="123"/>
      <c r="J386" s="123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</row>
    <row r="387">
      <c r="A387" s="122"/>
      <c r="B387" s="122"/>
      <c r="C387" s="122"/>
      <c r="D387" s="122"/>
      <c r="E387" s="122"/>
      <c r="F387" s="123"/>
      <c r="G387" s="123"/>
      <c r="H387" s="123"/>
      <c r="I387" s="123"/>
      <c r="J387" s="123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</row>
    <row r="388">
      <c r="A388" s="122"/>
      <c r="B388" s="122"/>
      <c r="C388" s="122"/>
      <c r="D388" s="122"/>
      <c r="E388" s="122"/>
      <c r="F388" s="123"/>
      <c r="G388" s="123"/>
      <c r="H388" s="123"/>
      <c r="I388" s="123"/>
      <c r="J388" s="123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</row>
    <row r="389">
      <c r="A389" s="122"/>
      <c r="B389" s="122"/>
      <c r="C389" s="122"/>
      <c r="D389" s="122"/>
      <c r="E389" s="122"/>
      <c r="F389" s="123"/>
      <c r="G389" s="123"/>
      <c r="H389" s="123"/>
      <c r="I389" s="123"/>
      <c r="J389" s="123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</row>
    <row r="390">
      <c r="A390" s="122"/>
      <c r="B390" s="122"/>
      <c r="C390" s="122"/>
      <c r="D390" s="122"/>
      <c r="E390" s="122"/>
      <c r="F390" s="123"/>
      <c r="G390" s="123"/>
      <c r="H390" s="123"/>
      <c r="I390" s="123"/>
      <c r="J390" s="123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</row>
    <row r="391">
      <c r="A391" s="122"/>
      <c r="B391" s="122"/>
      <c r="C391" s="122"/>
      <c r="D391" s="122"/>
      <c r="E391" s="122"/>
      <c r="F391" s="123"/>
      <c r="G391" s="123"/>
      <c r="H391" s="123"/>
      <c r="I391" s="123"/>
      <c r="J391" s="123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</row>
    <row r="392">
      <c r="A392" s="122"/>
      <c r="B392" s="122"/>
      <c r="C392" s="122"/>
      <c r="D392" s="122"/>
      <c r="E392" s="122"/>
      <c r="F392" s="123"/>
      <c r="G392" s="123"/>
      <c r="H392" s="123"/>
      <c r="I392" s="123"/>
      <c r="J392" s="123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</row>
    <row r="393">
      <c r="A393" s="122"/>
      <c r="B393" s="122"/>
      <c r="C393" s="122"/>
      <c r="D393" s="122"/>
      <c r="E393" s="122"/>
      <c r="F393" s="123"/>
      <c r="G393" s="123"/>
      <c r="H393" s="123"/>
      <c r="I393" s="123"/>
      <c r="J393" s="123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</row>
    <row r="394">
      <c r="A394" s="122"/>
      <c r="B394" s="122"/>
      <c r="C394" s="122"/>
      <c r="D394" s="122"/>
      <c r="E394" s="122"/>
      <c r="F394" s="123"/>
      <c r="G394" s="123"/>
      <c r="H394" s="123"/>
      <c r="I394" s="123"/>
      <c r="J394" s="123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</row>
    <row r="395">
      <c r="A395" s="122"/>
      <c r="B395" s="122"/>
      <c r="C395" s="122"/>
      <c r="D395" s="122"/>
      <c r="E395" s="122"/>
      <c r="F395" s="123"/>
      <c r="G395" s="123"/>
      <c r="H395" s="123"/>
      <c r="I395" s="123"/>
      <c r="J395" s="123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</row>
    <row r="396">
      <c r="A396" s="122"/>
      <c r="B396" s="122"/>
      <c r="C396" s="122"/>
      <c r="D396" s="122"/>
      <c r="E396" s="122"/>
      <c r="F396" s="123"/>
      <c r="G396" s="123"/>
      <c r="H396" s="123"/>
      <c r="I396" s="123"/>
      <c r="J396" s="123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</row>
    <row r="397">
      <c r="A397" s="122"/>
      <c r="B397" s="122"/>
      <c r="C397" s="122"/>
      <c r="D397" s="122"/>
      <c r="E397" s="122"/>
      <c r="F397" s="123"/>
      <c r="G397" s="123"/>
      <c r="H397" s="123"/>
      <c r="I397" s="123"/>
      <c r="J397" s="123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</row>
    <row r="398">
      <c r="A398" s="122"/>
      <c r="B398" s="122"/>
      <c r="C398" s="122"/>
      <c r="D398" s="122"/>
      <c r="E398" s="122"/>
      <c r="F398" s="123"/>
      <c r="G398" s="123"/>
      <c r="H398" s="123"/>
      <c r="I398" s="123"/>
      <c r="J398" s="123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</row>
    <row r="399">
      <c r="A399" s="122"/>
      <c r="B399" s="122"/>
      <c r="C399" s="122"/>
      <c r="D399" s="122"/>
      <c r="E399" s="122"/>
      <c r="F399" s="123"/>
      <c r="G399" s="123"/>
      <c r="H399" s="123"/>
      <c r="I399" s="123"/>
      <c r="J399" s="123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</row>
    <row r="400">
      <c r="A400" s="122"/>
      <c r="B400" s="122"/>
      <c r="C400" s="122"/>
      <c r="D400" s="122"/>
      <c r="E400" s="122"/>
      <c r="F400" s="123"/>
      <c r="G400" s="123"/>
      <c r="H400" s="123"/>
      <c r="I400" s="123"/>
      <c r="J400" s="123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</row>
    <row r="401">
      <c r="A401" s="122"/>
      <c r="B401" s="122"/>
      <c r="C401" s="122"/>
      <c r="D401" s="122"/>
      <c r="E401" s="122"/>
      <c r="F401" s="123"/>
      <c r="G401" s="123"/>
      <c r="H401" s="123"/>
      <c r="I401" s="123"/>
      <c r="J401" s="123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</row>
    <row r="402">
      <c r="A402" s="122"/>
      <c r="B402" s="122"/>
      <c r="C402" s="122"/>
      <c r="D402" s="122"/>
      <c r="E402" s="122"/>
      <c r="F402" s="123"/>
      <c r="G402" s="123"/>
      <c r="H402" s="123"/>
      <c r="I402" s="123"/>
      <c r="J402" s="123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</row>
    <row r="403">
      <c r="A403" s="122"/>
      <c r="B403" s="122"/>
      <c r="C403" s="122"/>
      <c r="D403" s="122"/>
      <c r="E403" s="122"/>
      <c r="F403" s="123"/>
      <c r="G403" s="123"/>
      <c r="H403" s="123"/>
      <c r="I403" s="123"/>
      <c r="J403" s="123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</row>
    <row r="404">
      <c r="A404" s="122"/>
      <c r="B404" s="122"/>
      <c r="C404" s="122"/>
      <c r="D404" s="122"/>
      <c r="E404" s="122"/>
      <c r="F404" s="123"/>
      <c r="G404" s="123"/>
      <c r="H404" s="123"/>
      <c r="I404" s="123"/>
      <c r="J404" s="123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</row>
    <row r="405">
      <c r="A405" s="122"/>
      <c r="B405" s="122"/>
      <c r="C405" s="122"/>
      <c r="D405" s="122"/>
      <c r="E405" s="122"/>
      <c r="F405" s="123"/>
      <c r="G405" s="123"/>
      <c r="H405" s="123"/>
      <c r="I405" s="123"/>
      <c r="J405" s="123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</row>
    <row r="406">
      <c r="A406" s="122"/>
      <c r="B406" s="122"/>
      <c r="C406" s="122"/>
      <c r="D406" s="122"/>
      <c r="E406" s="122"/>
      <c r="F406" s="123"/>
      <c r="G406" s="123"/>
      <c r="H406" s="123"/>
      <c r="I406" s="123"/>
      <c r="J406" s="123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</row>
    <row r="407">
      <c r="A407" s="122"/>
      <c r="B407" s="122"/>
      <c r="C407" s="122"/>
      <c r="D407" s="122"/>
      <c r="E407" s="122"/>
      <c r="F407" s="123"/>
      <c r="G407" s="123"/>
      <c r="H407" s="123"/>
      <c r="I407" s="123"/>
      <c r="J407" s="123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</row>
    <row r="408">
      <c r="A408" s="122"/>
      <c r="B408" s="122"/>
      <c r="C408" s="122"/>
      <c r="D408" s="122"/>
      <c r="E408" s="122"/>
      <c r="F408" s="123"/>
      <c r="G408" s="123"/>
      <c r="H408" s="123"/>
      <c r="I408" s="123"/>
      <c r="J408" s="123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</row>
    <row r="409">
      <c r="A409" s="122"/>
      <c r="B409" s="122"/>
      <c r="C409" s="122"/>
      <c r="D409" s="122"/>
      <c r="E409" s="122"/>
      <c r="F409" s="123"/>
      <c r="G409" s="123"/>
      <c r="H409" s="123"/>
      <c r="I409" s="123"/>
      <c r="J409" s="123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</row>
    <row r="410">
      <c r="A410" s="122"/>
      <c r="B410" s="122"/>
      <c r="C410" s="122"/>
      <c r="D410" s="122"/>
      <c r="E410" s="122"/>
      <c r="F410" s="123"/>
      <c r="G410" s="123"/>
      <c r="H410" s="123"/>
      <c r="I410" s="123"/>
      <c r="J410" s="123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</row>
    <row r="411">
      <c r="A411" s="122"/>
      <c r="B411" s="122"/>
      <c r="C411" s="122"/>
      <c r="D411" s="122"/>
      <c r="E411" s="122"/>
      <c r="F411" s="123"/>
      <c r="G411" s="123"/>
      <c r="H411" s="123"/>
      <c r="I411" s="123"/>
      <c r="J411" s="123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</row>
    <row r="412">
      <c r="A412" s="122"/>
      <c r="B412" s="122"/>
      <c r="C412" s="122"/>
      <c r="D412" s="122"/>
      <c r="E412" s="122"/>
      <c r="F412" s="123"/>
      <c r="G412" s="123"/>
      <c r="H412" s="123"/>
      <c r="I412" s="123"/>
      <c r="J412" s="123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</row>
    <row r="413">
      <c r="A413" s="122"/>
      <c r="B413" s="122"/>
      <c r="C413" s="122"/>
      <c r="D413" s="122"/>
      <c r="E413" s="122"/>
      <c r="F413" s="123"/>
      <c r="G413" s="123"/>
      <c r="H413" s="123"/>
      <c r="I413" s="123"/>
      <c r="J413" s="123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</row>
    <row r="414">
      <c r="A414" s="122"/>
      <c r="B414" s="122"/>
      <c r="C414" s="122"/>
      <c r="D414" s="122"/>
      <c r="E414" s="122"/>
      <c r="F414" s="123"/>
      <c r="G414" s="123"/>
      <c r="H414" s="123"/>
      <c r="I414" s="123"/>
      <c r="J414" s="123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</row>
    <row r="415">
      <c r="A415" s="122"/>
      <c r="B415" s="122"/>
      <c r="C415" s="122"/>
      <c r="D415" s="122"/>
      <c r="E415" s="122"/>
      <c r="F415" s="123"/>
      <c r="G415" s="123"/>
      <c r="H415" s="123"/>
      <c r="I415" s="123"/>
      <c r="J415" s="123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</row>
    <row r="416">
      <c r="A416" s="122"/>
      <c r="B416" s="122"/>
      <c r="C416" s="122"/>
      <c r="D416" s="122"/>
      <c r="E416" s="122"/>
      <c r="F416" s="123"/>
      <c r="G416" s="123"/>
      <c r="H416" s="123"/>
      <c r="I416" s="123"/>
      <c r="J416" s="123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</row>
    <row r="417">
      <c r="A417" s="122"/>
      <c r="B417" s="122"/>
      <c r="C417" s="122"/>
      <c r="D417" s="122"/>
      <c r="E417" s="122"/>
      <c r="F417" s="123"/>
      <c r="G417" s="123"/>
      <c r="H417" s="123"/>
      <c r="I417" s="123"/>
      <c r="J417" s="123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</row>
    <row r="418">
      <c r="A418" s="122"/>
      <c r="B418" s="122"/>
      <c r="C418" s="122"/>
      <c r="D418" s="122"/>
      <c r="E418" s="122"/>
      <c r="F418" s="123"/>
      <c r="G418" s="123"/>
      <c r="H418" s="123"/>
      <c r="I418" s="123"/>
      <c r="J418" s="123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</row>
    <row r="419">
      <c r="A419" s="122"/>
      <c r="B419" s="122"/>
      <c r="C419" s="122"/>
      <c r="D419" s="122"/>
      <c r="E419" s="122"/>
      <c r="F419" s="123"/>
      <c r="G419" s="123"/>
      <c r="H419" s="123"/>
      <c r="I419" s="123"/>
      <c r="J419" s="123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</row>
    <row r="420">
      <c r="A420" s="122"/>
      <c r="B420" s="122"/>
      <c r="C420" s="122"/>
      <c r="D420" s="122"/>
      <c r="E420" s="122"/>
      <c r="F420" s="123"/>
      <c r="G420" s="123"/>
      <c r="H420" s="123"/>
      <c r="I420" s="123"/>
      <c r="J420" s="123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</row>
    <row r="421">
      <c r="A421" s="122"/>
      <c r="B421" s="122"/>
      <c r="C421" s="122"/>
      <c r="D421" s="122"/>
      <c r="E421" s="122"/>
      <c r="F421" s="123"/>
      <c r="G421" s="123"/>
      <c r="H421" s="123"/>
      <c r="I421" s="123"/>
      <c r="J421" s="123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</row>
    <row r="422">
      <c r="A422" s="122"/>
      <c r="B422" s="122"/>
      <c r="C422" s="122"/>
      <c r="D422" s="122"/>
      <c r="E422" s="122"/>
      <c r="F422" s="123"/>
      <c r="G422" s="123"/>
      <c r="H422" s="123"/>
      <c r="I422" s="123"/>
      <c r="J422" s="123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</row>
    <row r="423">
      <c r="A423" s="122"/>
      <c r="B423" s="122"/>
      <c r="C423" s="122"/>
      <c r="D423" s="122"/>
      <c r="E423" s="122"/>
      <c r="F423" s="123"/>
      <c r="G423" s="123"/>
      <c r="H423" s="123"/>
      <c r="I423" s="123"/>
      <c r="J423" s="123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</row>
    <row r="424">
      <c r="A424" s="122"/>
      <c r="B424" s="122"/>
      <c r="C424" s="122"/>
      <c r="D424" s="122"/>
      <c r="E424" s="122"/>
      <c r="F424" s="123"/>
      <c r="G424" s="123"/>
      <c r="H424" s="123"/>
      <c r="I424" s="123"/>
      <c r="J424" s="123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</row>
    <row r="425">
      <c r="A425" s="122"/>
      <c r="B425" s="122"/>
      <c r="C425" s="122"/>
      <c r="D425" s="122"/>
      <c r="E425" s="122"/>
      <c r="F425" s="123"/>
      <c r="G425" s="123"/>
      <c r="H425" s="123"/>
      <c r="I425" s="123"/>
      <c r="J425" s="123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</row>
    <row r="426">
      <c r="A426" s="122"/>
      <c r="B426" s="122"/>
      <c r="C426" s="122"/>
      <c r="D426" s="122"/>
      <c r="E426" s="122"/>
      <c r="F426" s="123"/>
      <c r="G426" s="123"/>
      <c r="H426" s="123"/>
      <c r="I426" s="123"/>
      <c r="J426" s="123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</row>
    <row r="427">
      <c r="A427" s="122"/>
      <c r="B427" s="122"/>
      <c r="C427" s="122"/>
      <c r="D427" s="122"/>
      <c r="E427" s="122"/>
      <c r="F427" s="123"/>
      <c r="G427" s="123"/>
      <c r="H427" s="123"/>
      <c r="I427" s="123"/>
      <c r="J427" s="123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</row>
    <row r="428">
      <c r="A428" s="122"/>
      <c r="B428" s="122"/>
      <c r="C428" s="122"/>
      <c r="D428" s="122"/>
      <c r="E428" s="122"/>
      <c r="F428" s="123"/>
      <c r="G428" s="123"/>
      <c r="H428" s="123"/>
      <c r="I428" s="123"/>
      <c r="J428" s="123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</row>
    <row r="429">
      <c r="A429" s="122"/>
      <c r="B429" s="122"/>
      <c r="C429" s="122"/>
      <c r="D429" s="122"/>
      <c r="E429" s="122"/>
      <c r="F429" s="123"/>
      <c r="G429" s="123"/>
      <c r="H429" s="123"/>
      <c r="I429" s="123"/>
      <c r="J429" s="123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</row>
    <row r="430">
      <c r="A430" s="122"/>
      <c r="B430" s="122"/>
      <c r="C430" s="122"/>
      <c r="D430" s="122"/>
      <c r="E430" s="122"/>
      <c r="F430" s="123"/>
      <c r="G430" s="123"/>
      <c r="H430" s="123"/>
      <c r="I430" s="123"/>
      <c r="J430" s="123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</row>
    <row r="431">
      <c r="A431" s="122"/>
      <c r="B431" s="122"/>
      <c r="C431" s="122"/>
      <c r="D431" s="122"/>
      <c r="E431" s="122"/>
      <c r="F431" s="123"/>
      <c r="G431" s="123"/>
      <c r="H431" s="123"/>
      <c r="I431" s="123"/>
      <c r="J431" s="123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</row>
    <row r="432">
      <c r="A432" s="122"/>
      <c r="B432" s="122"/>
      <c r="C432" s="122"/>
      <c r="D432" s="122"/>
      <c r="E432" s="122"/>
      <c r="F432" s="123"/>
      <c r="G432" s="123"/>
      <c r="H432" s="123"/>
      <c r="I432" s="123"/>
      <c r="J432" s="123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</row>
    <row r="433">
      <c r="A433" s="122"/>
      <c r="B433" s="122"/>
      <c r="C433" s="122"/>
      <c r="D433" s="122"/>
      <c r="E433" s="122"/>
      <c r="F433" s="123"/>
      <c r="G433" s="123"/>
      <c r="H433" s="123"/>
      <c r="I433" s="123"/>
      <c r="J433" s="123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</row>
    <row r="434">
      <c r="A434" s="122"/>
      <c r="B434" s="122"/>
      <c r="C434" s="122"/>
      <c r="D434" s="122"/>
      <c r="E434" s="122"/>
      <c r="F434" s="123"/>
      <c r="G434" s="123"/>
      <c r="H434" s="123"/>
      <c r="I434" s="123"/>
      <c r="J434" s="123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</row>
    <row r="435">
      <c r="A435" s="122"/>
      <c r="B435" s="122"/>
      <c r="C435" s="122"/>
      <c r="D435" s="122"/>
      <c r="E435" s="122"/>
      <c r="F435" s="123"/>
      <c r="G435" s="123"/>
      <c r="H435" s="123"/>
      <c r="I435" s="123"/>
      <c r="J435" s="123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</row>
    <row r="436">
      <c r="A436" s="122"/>
      <c r="B436" s="122"/>
      <c r="C436" s="122"/>
      <c r="D436" s="122"/>
      <c r="E436" s="122"/>
      <c r="F436" s="123"/>
      <c r="G436" s="123"/>
      <c r="H436" s="123"/>
      <c r="I436" s="123"/>
      <c r="J436" s="123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</row>
    <row r="437">
      <c r="A437" s="122"/>
      <c r="B437" s="122"/>
      <c r="C437" s="122"/>
      <c r="D437" s="122"/>
      <c r="E437" s="122"/>
      <c r="F437" s="123"/>
      <c r="G437" s="123"/>
      <c r="H437" s="123"/>
      <c r="I437" s="123"/>
      <c r="J437" s="123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</row>
    <row r="438">
      <c r="A438" s="122"/>
      <c r="B438" s="122"/>
      <c r="C438" s="122"/>
      <c r="D438" s="122"/>
      <c r="E438" s="122"/>
      <c r="F438" s="123"/>
      <c r="G438" s="123"/>
      <c r="H438" s="123"/>
      <c r="I438" s="123"/>
      <c r="J438" s="123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</row>
    <row r="439">
      <c r="A439" s="122"/>
      <c r="B439" s="122"/>
      <c r="C439" s="122"/>
      <c r="D439" s="122"/>
      <c r="E439" s="122"/>
      <c r="F439" s="123"/>
      <c r="G439" s="123"/>
      <c r="H439" s="123"/>
      <c r="I439" s="123"/>
      <c r="J439" s="123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</row>
    <row r="440">
      <c r="A440" s="122"/>
      <c r="B440" s="122"/>
      <c r="C440" s="122"/>
      <c r="D440" s="122"/>
      <c r="E440" s="122"/>
      <c r="F440" s="123"/>
      <c r="G440" s="123"/>
      <c r="H440" s="123"/>
      <c r="I440" s="123"/>
      <c r="J440" s="123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</row>
    <row r="441">
      <c r="A441" s="122"/>
      <c r="B441" s="122"/>
      <c r="C441" s="122"/>
      <c r="D441" s="122"/>
      <c r="E441" s="122"/>
      <c r="F441" s="123"/>
      <c r="G441" s="123"/>
      <c r="H441" s="123"/>
      <c r="I441" s="123"/>
      <c r="J441" s="123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</row>
    <row r="442">
      <c r="A442" s="122"/>
      <c r="B442" s="122"/>
      <c r="C442" s="122"/>
      <c r="D442" s="122"/>
      <c r="E442" s="122"/>
      <c r="F442" s="123"/>
      <c r="G442" s="123"/>
      <c r="H442" s="123"/>
      <c r="I442" s="123"/>
      <c r="J442" s="123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</row>
    <row r="443">
      <c r="A443" s="122"/>
      <c r="B443" s="122"/>
      <c r="C443" s="122"/>
      <c r="D443" s="122"/>
      <c r="E443" s="122"/>
      <c r="F443" s="123"/>
      <c r="G443" s="123"/>
      <c r="H443" s="123"/>
      <c r="I443" s="123"/>
      <c r="J443" s="123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</row>
    <row r="444">
      <c r="A444" s="122"/>
      <c r="B444" s="122"/>
      <c r="C444" s="122"/>
      <c r="D444" s="122"/>
      <c r="E444" s="122"/>
      <c r="F444" s="123"/>
      <c r="G444" s="123"/>
      <c r="H444" s="123"/>
      <c r="I444" s="123"/>
      <c r="J444" s="123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</row>
    <row r="445">
      <c r="A445" s="122"/>
      <c r="B445" s="122"/>
      <c r="C445" s="122"/>
      <c r="D445" s="122"/>
      <c r="E445" s="122"/>
      <c r="F445" s="123"/>
      <c r="G445" s="123"/>
      <c r="H445" s="123"/>
      <c r="I445" s="123"/>
      <c r="J445" s="123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</row>
    <row r="446">
      <c r="A446" s="122"/>
      <c r="B446" s="122"/>
      <c r="C446" s="122"/>
      <c r="D446" s="122"/>
      <c r="E446" s="122"/>
      <c r="F446" s="123"/>
      <c r="G446" s="123"/>
      <c r="H446" s="123"/>
      <c r="I446" s="123"/>
      <c r="J446" s="123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</row>
    <row r="447">
      <c r="A447" s="122"/>
      <c r="B447" s="122"/>
      <c r="C447" s="122"/>
      <c r="D447" s="122"/>
      <c r="E447" s="122"/>
      <c r="F447" s="123"/>
      <c r="G447" s="123"/>
      <c r="H447" s="123"/>
      <c r="I447" s="123"/>
      <c r="J447" s="123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</row>
    <row r="448">
      <c r="A448" s="122"/>
      <c r="B448" s="122"/>
      <c r="C448" s="122"/>
      <c r="D448" s="122"/>
      <c r="E448" s="122"/>
      <c r="F448" s="123"/>
      <c r="G448" s="123"/>
      <c r="H448" s="123"/>
      <c r="I448" s="123"/>
      <c r="J448" s="123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</row>
    <row r="449">
      <c r="A449" s="122"/>
      <c r="B449" s="122"/>
      <c r="C449" s="122"/>
      <c r="D449" s="122"/>
      <c r="E449" s="122"/>
      <c r="F449" s="123"/>
      <c r="G449" s="123"/>
      <c r="H449" s="123"/>
      <c r="I449" s="123"/>
      <c r="J449" s="123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</row>
    <row r="450">
      <c r="A450" s="122"/>
      <c r="B450" s="122"/>
      <c r="C450" s="122"/>
      <c r="D450" s="122"/>
      <c r="E450" s="122"/>
      <c r="F450" s="123"/>
      <c r="G450" s="123"/>
      <c r="H450" s="123"/>
      <c r="I450" s="123"/>
      <c r="J450" s="123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</row>
    <row r="451">
      <c r="A451" s="122"/>
      <c r="B451" s="122"/>
      <c r="C451" s="122"/>
      <c r="D451" s="122"/>
      <c r="E451" s="122"/>
      <c r="F451" s="123"/>
      <c r="G451" s="123"/>
      <c r="H451" s="123"/>
      <c r="I451" s="123"/>
      <c r="J451" s="123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</row>
    <row r="452">
      <c r="A452" s="122"/>
      <c r="B452" s="122"/>
      <c r="C452" s="122"/>
      <c r="D452" s="122"/>
      <c r="E452" s="122"/>
      <c r="F452" s="123"/>
      <c r="G452" s="123"/>
      <c r="H452" s="123"/>
      <c r="I452" s="123"/>
      <c r="J452" s="123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</row>
    <row r="453">
      <c r="A453" s="122"/>
      <c r="B453" s="122"/>
      <c r="C453" s="122"/>
      <c r="D453" s="122"/>
      <c r="E453" s="122"/>
      <c r="F453" s="123"/>
      <c r="G453" s="123"/>
      <c r="H453" s="123"/>
      <c r="I453" s="123"/>
      <c r="J453" s="123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</row>
    <row r="454">
      <c r="A454" s="122"/>
      <c r="B454" s="122"/>
      <c r="C454" s="122"/>
      <c r="D454" s="122"/>
      <c r="E454" s="122"/>
      <c r="F454" s="123"/>
      <c r="G454" s="123"/>
      <c r="H454" s="123"/>
      <c r="I454" s="123"/>
      <c r="J454" s="123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</row>
    <row r="455">
      <c r="A455" s="122"/>
      <c r="B455" s="122"/>
      <c r="C455" s="122"/>
      <c r="D455" s="122"/>
      <c r="E455" s="122"/>
      <c r="F455" s="123"/>
      <c r="G455" s="123"/>
      <c r="H455" s="123"/>
      <c r="I455" s="123"/>
      <c r="J455" s="123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</row>
    <row r="456">
      <c r="A456" s="122"/>
      <c r="B456" s="122"/>
      <c r="C456" s="122"/>
      <c r="D456" s="122"/>
      <c r="E456" s="122"/>
      <c r="F456" s="123"/>
      <c r="G456" s="123"/>
      <c r="H456" s="123"/>
      <c r="I456" s="123"/>
      <c r="J456" s="123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</row>
    <row r="457">
      <c r="A457" s="122"/>
      <c r="B457" s="122"/>
      <c r="C457" s="122"/>
      <c r="D457" s="122"/>
      <c r="E457" s="122"/>
      <c r="F457" s="123"/>
      <c r="G457" s="123"/>
      <c r="H457" s="123"/>
      <c r="I457" s="123"/>
      <c r="J457" s="123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</row>
    <row r="458">
      <c r="A458" s="122"/>
      <c r="B458" s="122"/>
      <c r="C458" s="122"/>
      <c r="D458" s="122"/>
      <c r="E458" s="122"/>
      <c r="F458" s="123"/>
      <c r="G458" s="123"/>
      <c r="H458" s="123"/>
      <c r="I458" s="123"/>
      <c r="J458" s="123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</row>
    <row r="459">
      <c r="A459" s="122"/>
      <c r="B459" s="122"/>
      <c r="C459" s="122"/>
      <c r="D459" s="122"/>
      <c r="E459" s="122"/>
      <c r="F459" s="123"/>
      <c r="G459" s="123"/>
      <c r="H459" s="123"/>
      <c r="I459" s="123"/>
      <c r="J459" s="123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</row>
    <row r="460">
      <c r="A460" s="122"/>
      <c r="B460" s="122"/>
      <c r="C460" s="122"/>
      <c r="D460" s="122"/>
      <c r="E460" s="122"/>
      <c r="F460" s="123"/>
      <c r="G460" s="123"/>
      <c r="H460" s="123"/>
      <c r="I460" s="123"/>
      <c r="J460" s="123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</row>
    <row r="461">
      <c r="A461" s="122"/>
      <c r="B461" s="122"/>
      <c r="C461" s="122"/>
      <c r="D461" s="122"/>
      <c r="E461" s="122"/>
      <c r="F461" s="123"/>
      <c r="G461" s="123"/>
      <c r="H461" s="123"/>
      <c r="I461" s="123"/>
      <c r="J461" s="123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</row>
    <row r="462">
      <c r="A462" s="122"/>
      <c r="B462" s="122"/>
      <c r="C462" s="122"/>
      <c r="D462" s="122"/>
      <c r="E462" s="122"/>
      <c r="F462" s="123"/>
      <c r="G462" s="123"/>
      <c r="H462" s="123"/>
      <c r="I462" s="123"/>
      <c r="J462" s="123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</row>
    <row r="463">
      <c r="A463" s="122"/>
      <c r="B463" s="122"/>
      <c r="C463" s="122"/>
      <c r="D463" s="122"/>
      <c r="E463" s="122"/>
      <c r="F463" s="123"/>
      <c r="G463" s="123"/>
      <c r="H463" s="123"/>
      <c r="I463" s="123"/>
      <c r="J463" s="123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</row>
    <row r="464">
      <c r="A464" s="122"/>
      <c r="B464" s="122"/>
      <c r="C464" s="122"/>
      <c r="D464" s="122"/>
      <c r="E464" s="122"/>
      <c r="F464" s="123"/>
      <c r="G464" s="123"/>
      <c r="H464" s="123"/>
      <c r="I464" s="123"/>
      <c r="J464" s="123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</row>
    <row r="465">
      <c r="A465" s="122"/>
      <c r="B465" s="122"/>
      <c r="C465" s="122"/>
      <c r="D465" s="122"/>
      <c r="E465" s="122"/>
      <c r="F465" s="123"/>
      <c r="G465" s="123"/>
      <c r="H465" s="123"/>
      <c r="I465" s="123"/>
      <c r="J465" s="123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</row>
    <row r="466">
      <c r="A466" s="122"/>
      <c r="B466" s="122"/>
      <c r="C466" s="122"/>
      <c r="D466" s="122"/>
      <c r="E466" s="122"/>
      <c r="F466" s="123"/>
      <c r="G466" s="123"/>
      <c r="H466" s="123"/>
      <c r="I466" s="123"/>
      <c r="J466" s="123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</row>
    <row r="467">
      <c r="A467" s="122"/>
      <c r="B467" s="122"/>
      <c r="C467" s="122"/>
      <c r="D467" s="122"/>
      <c r="E467" s="122"/>
      <c r="F467" s="123"/>
      <c r="G467" s="123"/>
      <c r="H467" s="123"/>
      <c r="I467" s="123"/>
      <c r="J467" s="123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</row>
    <row r="468">
      <c r="A468" s="122"/>
      <c r="B468" s="122"/>
      <c r="C468" s="122"/>
      <c r="D468" s="122"/>
      <c r="E468" s="122"/>
      <c r="F468" s="123"/>
      <c r="G468" s="123"/>
      <c r="H468" s="123"/>
      <c r="I468" s="123"/>
      <c r="J468" s="123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</row>
    <row r="469">
      <c r="A469" s="122"/>
      <c r="B469" s="122"/>
      <c r="C469" s="122"/>
      <c r="D469" s="122"/>
      <c r="E469" s="122"/>
      <c r="F469" s="123"/>
      <c r="G469" s="123"/>
      <c r="H469" s="123"/>
      <c r="I469" s="123"/>
      <c r="J469" s="123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</row>
    <row r="470">
      <c r="A470" s="122"/>
      <c r="B470" s="122"/>
      <c r="C470" s="122"/>
      <c r="D470" s="122"/>
      <c r="E470" s="122"/>
      <c r="F470" s="123"/>
      <c r="G470" s="123"/>
      <c r="H470" s="123"/>
      <c r="I470" s="123"/>
      <c r="J470" s="123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</row>
    <row r="471">
      <c r="A471" s="122"/>
      <c r="B471" s="122"/>
      <c r="C471" s="122"/>
      <c r="D471" s="122"/>
      <c r="E471" s="122"/>
      <c r="F471" s="123"/>
      <c r="G471" s="123"/>
      <c r="H471" s="123"/>
      <c r="I471" s="123"/>
      <c r="J471" s="123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</row>
    <row r="472">
      <c r="A472" s="122"/>
      <c r="B472" s="122"/>
      <c r="C472" s="122"/>
      <c r="D472" s="122"/>
      <c r="E472" s="122"/>
      <c r="F472" s="123"/>
      <c r="G472" s="123"/>
      <c r="H472" s="123"/>
      <c r="I472" s="123"/>
      <c r="J472" s="123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</row>
    <row r="473">
      <c r="A473" s="122"/>
      <c r="B473" s="122"/>
      <c r="C473" s="122"/>
      <c r="D473" s="122"/>
      <c r="E473" s="122"/>
      <c r="F473" s="123"/>
      <c r="G473" s="123"/>
      <c r="H473" s="123"/>
      <c r="I473" s="123"/>
      <c r="J473" s="123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</row>
    <row r="474">
      <c r="A474" s="122"/>
      <c r="B474" s="122"/>
      <c r="C474" s="122"/>
      <c r="D474" s="122"/>
      <c r="E474" s="122"/>
      <c r="F474" s="123"/>
      <c r="G474" s="123"/>
      <c r="H474" s="123"/>
      <c r="I474" s="123"/>
      <c r="J474" s="123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</row>
    <row r="475">
      <c r="A475" s="122"/>
      <c r="B475" s="122"/>
      <c r="C475" s="122"/>
      <c r="D475" s="122"/>
      <c r="E475" s="122"/>
      <c r="F475" s="123"/>
      <c r="G475" s="123"/>
      <c r="H475" s="123"/>
      <c r="I475" s="123"/>
      <c r="J475" s="123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</row>
    <row r="476">
      <c r="A476" s="122"/>
      <c r="B476" s="122"/>
      <c r="C476" s="122"/>
      <c r="D476" s="122"/>
      <c r="E476" s="122"/>
      <c r="F476" s="123"/>
      <c r="G476" s="123"/>
      <c r="H476" s="123"/>
      <c r="I476" s="123"/>
      <c r="J476" s="123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</row>
    <row r="477">
      <c r="A477" s="122"/>
      <c r="B477" s="122"/>
      <c r="C477" s="122"/>
      <c r="D477" s="122"/>
      <c r="E477" s="122"/>
      <c r="F477" s="123"/>
      <c r="G477" s="123"/>
      <c r="H477" s="123"/>
      <c r="I477" s="123"/>
      <c r="J477" s="123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</row>
    <row r="478">
      <c r="A478" s="122"/>
      <c r="B478" s="122"/>
      <c r="C478" s="122"/>
      <c r="D478" s="122"/>
      <c r="E478" s="122"/>
      <c r="F478" s="123"/>
      <c r="G478" s="123"/>
      <c r="H478" s="123"/>
      <c r="I478" s="123"/>
      <c r="J478" s="123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</row>
    <row r="479">
      <c r="A479" s="122"/>
      <c r="B479" s="122"/>
      <c r="C479" s="122"/>
      <c r="D479" s="122"/>
      <c r="E479" s="122"/>
      <c r="F479" s="123"/>
      <c r="G479" s="123"/>
      <c r="H479" s="123"/>
      <c r="I479" s="123"/>
      <c r="J479" s="123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</row>
    <row r="480">
      <c r="A480" s="122"/>
      <c r="B480" s="122"/>
      <c r="C480" s="122"/>
      <c r="D480" s="122"/>
      <c r="E480" s="122"/>
      <c r="F480" s="123"/>
      <c r="G480" s="123"/>
      <c r="H480" s="123"/>
      <c r="I480" s="123"/>
      <c r="J480" s="123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</row>
    <row r="481">
      <c r="A481" s="122"/>
      <c r="B481" s="122"/>
      <c r="C481" s="122"/>
      <c r="D481" s="122"/>
      <c r="E481" s="122"/>
      <c r="F481" s="123"/>
      <c r="G481" s="123"/>
      <c r="H481" s="123"/>
      <c r="I481" s="123"/>
      <c r="J481" s="123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</row>
    <row r="482">
      <c r="A482" s="122"/>
      <c r="B482" s="122"/>
      <c r="C482" s="122"/>
      <c r="D482" s="122"/>
      <c r="E482" s="122"/>
      <c r="F482" s="123"/>
      <c r="G482" s="123"/>
      <c r="H482" s="123"/>
      <c r="I482" s="123"/>
      <c r="J482" s="123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</row>
    <row r="483">
      <c r="A483" s="122"/>
      <c r="B483" s="122"/>
      <c r="C483" s="122"/>
      <c r="D483" s="122"/>
      <c r="E483" s="122"/>
      <c r="F483" s="123"/>
      <c r="G483" s="123"/>
      <c r="H483" s="123"/>
      <c r="I483" s="123"/>
      <c r="J483" s="123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</row>
    <row r="484">
      <c r="A484" s="122"/>
      <c r="B484" s="122"/>
      <c r="C484" s="122"/>
      <c r="D484" s="122"/>
      <c r="E484" s="122"/>
      <c r="F484" s="123"/>
      <c r="G484" s="123"/>
      <c r="H484" s="123"/>
      <c r="I484" s="123"/>
      <c r="J484" s="123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</row>
    <row r="485">
      <c r="A485" s="122"/>
      <c r="B485" s="122"/>
      <c r="C485" s="122"/>
      <c r="D485" s="122"/>
      <c r="E485" s="122"/>
      <c r="F485" s="123"/>
      <c r="G485" s="123"/>
      <c r="H485" s="123"/>
      <c r="I485" s="123"/>
      <c r="J485" s="123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</row>
    <row r="486">
      <c r="A486" s="122"/>
      <c r="B486" s="122"/>
      <c r="C486" s="122"/>
      <c r="D486" s="122"/>
      <c r="E486" s="122"/>
      <c r="F486" s="123"/>
      <c r="G486" s="123"/>
      <c r="H486" s="123"/>
      <c r="I486" s="123"/>
      <c r="J486" s="123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</row>
    <row r="487">
      <c r="A487" s="122"/>
      <c r="B487" s="122"/>
      <c r="C487" s="122"/>
      <c r="D487" s="122"/>
      <c r="E487" s="122"/>
      <c r="F487" s="123"/>
      <c r="G487" s="123"/>
      <c r="H487" s="123"/>
      <c r="I487" s="123"/>
      <c r="J487" s="123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</row>
    <row r="488">
      <c r="A488" s="122"/>
      <c r="B488" s="122"/>
      <c r="C488" s="122"/>
      <c r="D488" s="122"/>
      <c r="E488" s="122"/>
      <c r="F488" s="123"/>
      <c r="G488" s="123"/>
      <c r="H488" s="123"/>
      <c r="I488" s="123"/>
      <c r="J488" s="123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</row>
    <row r="489">
      <c r="A489" s="122"/>
      <c r="B489" s="122"/>
      <c r="C489" s="122"/>
      <c r="D489" s="122"/>
      <c r="E489" s="122"/>
      <c r="F489" s="123"/>
      <c r="G489" s="123"/>
      <c r="H489" s="123"/>
      <c r="I489" s="123"/>
      <c r="J489" s="123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</row>
    <row r="490">
      <c r="A490" s="122"/>
      <c r="B490" s="122"/>
      <c r="C490" s="122"/>
      <c r="D490" s="122"/>
      <c r="E490" s="122"/>
      <c r="F490" s="123"/>
      <c r="G490" s="123"/>
      <c r="H490" s="123"/>
      <c r="I490" s="123"/>
      <c r="J490" s="123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</row>
    <row r="491">
      <c r="A491" s="122"/>
      <c r="B491" s="122"/>
      <c r="C491" s="122"/>
      <c r="D491" s="122"/>
      <c r="E491" s="122"/>
      <c r="F491" s="123"/>
      <c r="G491" s="123"/>
      <c r="H491" s="123"/>
      <c r="I491" s="123"/>
      <c r="J491" s="123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</row>
    <row r="492">
      <c r="A492" s="122"/>
      <c r="B492" s="122"/>
      <c r="C492" s="122"/>
      <c r="D492" s="122"/>
      <c r="E492" s="122"/>
      <c r="F492" s="123"/>
      <c r="G492" s="123"/>
      <c r="H492" s="123"/>
      <c r="I492" s="123"/>
      <c r="J492" s="123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</row>
    <row r="493">
      <c r="A493" s="122"/>
      <c r="B493" s="122"/>
      <c r="C493" s="122"/>
      <c r="D493" s="122"/>
      <c r="E493" s="122"/>
      <c r="F493" s="123"/>
      <c r="G493" s="123"/>
      <c r="H493" s="123"/>
      <c r="I493" s="123"/>
      <c r="J493" s="123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</row>
    <row r="494">
      <c r="A494" s="122"/>
      <c r="B494" s="122"/>
      <c r="C494" s="122"/>
      <c r="D494" s="122"/>
      <c r="E494" s="122"/>
      <c r="F494" s="123"/>
      <c r="G494" s="123"/>
      <c r="H494" s="123"/>
      <c r="I494" s="123"/>
      <c r="J494" s="123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</row>
    <row r="495">
      <c r="A495" s="122"/>
      <c r="B495" s="122"/>
      <c r="C495" s="122"/>
      <c r="D495" s="122"/>
      <c r="E495" s="122"/>
      <c r="F495" s="123"/>
      <c r="G495" s="123"/>
      <c r="H495" s="123"/>
      <c r="I495" s="123"/>
      <c r="J495" s="123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</row>
    <row r="496">
      <c r="A496" s="122"/>
      <c r="B496" s="122"/>
      <c r="C496" s="122"/>
      <c r="D496" s="122"/>
      <c r="E496" s="122"/>
      <c r="F496" s="123"/>
      <c r="G496" s="123"/>
      <c r="H496" s="123"/>
      <c r="I496" s="123"/>
      <c r="J496" s="123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</row>
    <row r="497">
      <c r="A497" s="122"/>
      <c r="B497" s="122"/>
      <c r="C497" s="122"/>
      <c r="D497" s="122"/>
      <c r="E497" s="122"/>
      <c r="F497" s="123"/>
      <c r="G497" s="123"/>
      <c r="H497" s="123"/>
      <c r="I497" s="123"/>
      <c r="J497" s="123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</row>
    <row r="498">
      <c r="A498" s="122"/>
      <c r="B498" s="122"/>
      <c r="C498" s="122"/>
      <c r="D498" s="122"/>
      <c r="E498" s="122"/>
      <c r="F498" s="123"/>
      <c r="G498" s="123"/>
      <c r="H498" s="123"/>
      <c r="I498" s="123"/>
      <c r="J498" s="123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</row>
    <row r="499">
      <c r="A499" s="122"/>
      <c r="B499" s="122"/>
      <c r="C499" s="122"/>
      <c r="D499" s="122"/>
      <c r="E499" s="122"/>
      <c r="F499" s="123"/>
      <c r="G499" s="123"/>
      <c r="H499" s="123"/>
      <c r="I499" s="123"/>
      <c r="J499" s="123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</row>
    <row r="500">
      <c r="A500" s="122"/>
      <c r="B500" s="122"/>
      <c r="C500" s="122"/>
      <c r="D500" s="122"/>
      <c r="E500" s="122"/>
      <c r="F500" s="123"/>
      <c r="G500" s="123"/>
      <c r="H500" s="123"/>
      <c r="I500" s="123"/>
      <c r="J500" s="123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</row>
    <row r="501">
      <c r="A501" s="122"/>
      <c r="B501" s="122"/>
      <c r="C501" s="122"/>
      <c r="D501" s="122"/>
      <c r="E501" s="122"/>
      <c r="F501" s="123"/>
      <c r="G501" s="123"/>
      <c r="H501" s="123"/>
      <c r="I501" s="123"/>
      <c r="J501" s="123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</row>
    <row r="502">
      <c r="A502" s="122"/>
      <c r="B502" s="122"/>
      <c r="C502" s="122"/>
      <c r="D502" s="122"/>
      <c r="E502" s="122"/>
      <c r="F502" s="123"/>
      <c r="G502" s="123"/>
      <c r="H502" s="123"/>
      <c r="I502" s="123"/>
      <c r="J502" s="123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</row>
    <row r="503">
      <c r="A503" s="122"/>
      <c r="B503" s="122"/>
      <c r="C503" s="122"/>
      <c r="D503" s="122"/>
      <c r="E503" s="122"/>
      <c r="F503" s="123"/>
      <c r="G503" s="123"/>
      <c r="H503" s="123"/>
      <c r="I503" s="123"/>
      <c r="J503" s="123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</row>
    <row r="504">
      <c r="A504" s="122"/>
      <c r="B504" s="122"/>
      <c r="C504" s="122"/>
      <c r="D504" s="122"/>
      <c r="E504" s="122"/>
      <c r="F504" s="123"/>
      <c r="G504" s="123"/>
      <c r="H504" s="123"/>
      <c r="I504" s="123"/>
      <c r="J504" s="123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</row>
    <row r="505">
      <c r="A505" s="122"/>
      <c r="B505" s="122"/>
      <c r="C505" s="122"/>
      <c r="D505" s="122"/>
      <c r="E505" s="122"/>
      <c r="F505" s="123"/>
      <c r="G505" s="123"/>
      <c r="H505" s="123"/>
      <c r="I505" s="123"/>
      <c r="J505" s="123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</row>
    <row r="506">
      <c r="A506" s="122"/>
      <c r="B506" s="122"/>
      <c r="C506" s="122"/>
      <c r="D506" s="122"/>
      <c r="E506" s="122"/>
      <c r="F506" s="123"/>
      <c r="G506" s="123"/>
      <c r="H506" s="123"/>
      <c r="I506" s="123"/>
      <c r="J506" s="123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</row>
    <row r="507">
      <c r="A507" s="122"/>
      <c r="B507" s="122"/>
      <c r="C507" s="122"/>
      <c r="D507" s="122"/>
      <c r="E507" s="122"/>
      <c r="F507" s="123"/>
      <c r="G507" s="123"/>
      <c r="H507" s="123"/>
      <c r="I507" s="123"/>
      <c r="J507" s="123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</row>
    <row r="508">
      <c r="A508" s="122"/>
      <c r="B508" s="122"/>
      <c r="C508" s="122"/>
      <c r="D508" s="122"/>
      <c r="E508" s="122"/>
      <c r="F508" s="123"/>
      <c r="G508" s="123"/>
      <c r="H508" s="123"/>
      <c r="I508" s="123"/>
      <c r="J508" s="123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</row>
    <row r="509">
      <c r="A509" s="122"/>
      <c r="B509" s="122"/>
      <c r="C509" s="122"/>
      <c r="D509" s="122"/>
      <c r="E509" s="122"/>
      <c r="F509" s="123"/>
      <c r="G509" s="123"/>
      <c r="H509" s="123"/>
      <c r="I509" s="123"/>
      <c r="J509" s="123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</row>
    <row r="510">
      <c r="A510" s="122"/>
      <c r="B510" s="122"/>
      <c r="C510" s="122"/>
      <c r="D510" s="122"/>
      <c r="E510" s="122"/>
      <c r="F510" s="123"/>
      <c r="G510" s="123"/>
      <c r="H510" s="123"/>
      <c r="I510" s="123"/>
      <c r="J510" s="123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</row>
    <row r="511">
      <c r="A511" s="122"/>
      <c r="B511" s="122"/>
      <c r="C511" s="122"/>
      <c r="D511" s="122"/>
      <c r="E511" s="122"/>
      <c r="F511" s="123"/>
      <c r="G511" s="123"/>
      <c r="H511" s="123"/>
      <c r="I511" s="123"/>
      <c r="J511" s="123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</row>
    <row r="512">
      <c r="A512" s="122"/>
      <c r="B512" s="122"/>
      <c r="C512" s="122"/>
      <c r="D512" s="122"/>
      <c r="E512" s="122"/>
      <c r="F512" s="123"/>
      <c r="G512" s="123"/>
      <c r="H512" s="123"/>
      <c r="I512" s="123"/>
      <c r="J512" s="123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</row>
    <row r="513">
      <c r="A513" s="122"/>
      <c r="B513" s="122"/>
      <c r="C513" s="122"/>
      <c r="D513" s="122"/>
      <c r="E513" s="122"/>
      <c r="F513" s="123"/>
      <c r="G513" s="123"/>
      <c r="H513" s="123"/>
      <c r="I513" s="123"/>
      <c r="J513" s="123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</row>
    <row r="514">
      <c r="A514" s="122"/>
      <c r="B514" s="122"/>
      <c r="C514" s="122"/>
      <c r="D514" s="122"/>
      <c r="E514" s="122"/>
      <c r="F514" s="123"/>
      <c r="G514" s="123"/>
      <c r="H514" s="123"/>
      <c r="I514" s="123"/>
      <c r="J514" s="123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</row>
    <row r="515">
      <c r="A515" s="122"/>
      <c r="B515" s="122"/>
      <c r="C515" s="122"/>
      <c r="D515" s="122"/>
      <c r="E515" s="122"/>
      <c r="F515" s="123"/>
      <c r="G515" s="123"/>
      <c r="H515" s="123"/>
      <c r="I515" s="123"/>
      <c r="J515" s="123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</row>
    <row r="516">
      <c r="A516" s="122"/>
      <c r="B516" s="122"/>
      <c r="C516" s="122"/>
      <c r="D516" s="122"/>
      <c r="E516" s="122"/>
      <c r="F516" s="123"/>
      <c r="G516" s="123"/>
      <c r="H516" s="123"/>
      <c r="I516" s="123"/>
      <c r="J516" s="123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</row>
    <row r="517">
      <c r="A517" s="122"/>
      <c r="B517" s="122"/>
      <c r="C517" s="122"/>
      <c r="D517" s="122"/>
      <c r="E517" s="122"/>
      <c r="F517" s="123"/>
      <c r="G517" s="123"/>
      <c r="H517" s="123"/>
      <c r="I517" s="123"/>
      <c r="J517" s="123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</row>
    <row r="518">
      <c r="A518" s="122"/>
      <c r="B518" s="122"/>
      <c r="C518" s="122"/>
      <c r="D518" s="122"/>
      <c r="E518" s="122"/>
      <c r="F518" s="123"/>
      <c r="G518" s="123"/>
      <c r="H518" s="123"/>
      <c r="I518" s="123"/>
      <c r="J518" s="123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</row>
    <row r="519">
      <c r="A519" s="122"/>
      <c r="B519" s="122"/>
      <c r="C519" s="122"/>
      <c r="D519" s="122"/>
      <c r="E519" s="122"/>
      <c r="F519" s="123"/>
      <c r="G519" s="123"/>
      <c r="H519" s="123"/>
      <c r="I519" s="123"/>
      <c r="J519" s="123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</row>
    <row r="520">
      <c r="A520" s="122"/>
      <c r="B520" s="122"/>
      <c r="C520" s="122"/>
      <c r="D520" s="122"/>
      <c r="E520" s="122"/>
      <c r="F520" s="123"/>
      <c r="G520" s="123"/>
      <c r="H520" s="123"/>
      <c r="I520" s="123"/>
      <c r="J520" s="123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</row>
    <row r="521">
      <c r="A521" s="122"/>
      <c r="B521" s="122"/>
      <c r="C521" s="122"/>
      <c r="D521" s="122"/>
      <c r="E521" s="122"/>
      <c r="F521" s="123"/>
      <c r="G521" s="123"/>
      <c r="H521" s="123"/>
      <c r="I521" s="123"/>
      <c r="J521" s="123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</row>
    <row r="522">
      <c r="A522" s="122"/>
      <c r="B522" s="122"/>
      <c r="C522" s="122"/>
      <c r="D522" s="122"/>
      <c r="E522" s="122"/>
      <c r="F522" s="123"/>
      <c r="G522" s="123"/>
      <c r="H522" s="123"/>
      <c r="I522" s="123"/>
      <c r="J522" s="123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</row>
    <row r="523">
      <c r="A523" s="122"/>
      <c r="B523" s="122"/>
      <c r="C523" s="122"/>
      <c r="D523" s="122"/>
      <c r="E523" s="122"/>
      <c r="F523" s="123"/>
      <c r="G523" s="123"/>
      <c r="H523" s="123"/>
      <c r="I523" s="123"/>
      <c r="J523" s="123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</row>
    <row r="524">
      <c r="A524" s="122"/>
      <c r="B524" s="122"/>
      <c r="C524" s="122"/>
      <c r="D524" s="122"/>
      <c r="E524" s="122"/>
      <c r="F524" s="123"/>
      <c r="G524" s="123"/>
      <c r="H524" s="123"/>
      <c r="I524" s="123"/>
      <c r="J524" s="123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</row>
    <row r="525">
      <c r="A525" s="122"/>
      <c r="B525" s="122"/>
      <c r="C525" s="122"/>
      <c r="D525" s="122"/>
      <c r="E525" s="122"/>
      <c r="F525" s="123"/>
      <c r="G525" s="123"/>
      <c r="H525" s="123"/>
      <c r="I525" s="123"/>
      <c r="J525" s="123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</row>
    <row r="526">
      <c r="A526" s="122"/>
      <c r="B526" s="122"/>
      <c r="C526" s="122"/>
      <c r="D526" s="122"/>
      <c r="E526" s="122"/>
      <c r="F526" s="123"/>
      <c r="G526" s="123"/>
      <c r="H526" s="123"/>
      <c r="I526" s="123"/>
      <c r="J526" s="123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</row>
    <row r="527">
      <c r="A527" s="122"/>
      <c r="B527" s="122"/>
      <c r="C527" s="122"/>
      <c r="D527" s="122"/>
      <c r="E527" s="122"/>
      <c r="F527" s="123"/>
      <c r="G527" s="123"/>
      <c r="H527" s="123"/>
      <c r="I527" s="123"/>
      <c r="J527" s="123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</row>
    <row r="528">
      <c r="A528" s="122"/>
      <c r="B528" s="122"/>
      <c r="C528" s="122"/>
      <c r="D528" s="122"/>
      <c r="E528" s="122"/>
      <c r="F528" s="123"/>
      <c r="G528" s="123"/>
      <c r="H528" s="123"/>
      <c r="I528" s="123"/>
      <c r="J528" s="123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</row>
    <row r="529">
      <c r="A529" s="122"/>
      <c r="B529" s="122"/>
      <c r="C529" s="122"/>
      <c r="D529" s="122"/>
      <c r="E529" s="122"/>
      <c r="F529" s="123"/>
      <c r="G529" s="123"/>
      <c r="H529" s="123"/>
      <c r="I529" s="123"/>
      <c r="J529" s="123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</row>
    <row r="530">
      <c r="A530" s="122"/>
      <c r="B530" s="122"/>
      <c r="C530" s="122"/>
      <c r="D530" s="122"/>
      <c r="E530" s="122"/>
      <c r="F530" s="123"/>
      <c r="G530" s="123"/>
      <c r="H530" s="123"/>
      <c r="I530" s="123"/>
      <c r="J530" s="123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</row>
    <row r="531">
      <c r="A531" s="122"/>
      <c r="B531" s="122"/>
      <c r="C531" s="122"/>
      <c r="D531" s="122"/>
      <c r="E531" s="122"/>
      <c r="F531" s="123"/>
      <c r="G531" s="123"/>
      <c r="H531" s="123"/>
      <c r="I531" s="123"/>
      <c r="J531" s="123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</row>
    <row r="532">
      <c r="A532" s="122"/>
      <c r="B532" s="122"/>
      <c r="C532" s="122"/>
      <c r="D532" s="122"/>
      <c r="E532" s="122"/>
      <c r="F532" s="123"/>
      <c r="G532" s="123"/>
      <c r="H532" s="123"/>
      <c r="I532" s="123"/>
      <c r="J532" s="123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</row>
    <row r="533">
      <c r="A533" s="122"/>
      <c r="B533" s="122"/>
      <c r="C533" s="122"/>
      <c r="D533" s="122"/>
      <c r="E533" s="122"/>
      <c r="F533" s="123"/>
      <c r="G533" s="123"/>
      <c r="H533" s="123"/>
      <c r="I533" s="123"/>
      <c r="J533" s="123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</row>
    <row r="534">
      <c r="A534" s="122"/>
      <c r="B534" s="122"/>
      <c r="C534" s="122"/>
      <c r="D534" s="122"/>
      <c r="E534" s="122"/>
      <c r="F534" s="123"/>
      <c r="G534" s="123"/>
      <c r="H534" s="123"/>
      <c r="I534" s="123"/>
      <c r="J534" s="123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</row>
    <row r="535">
      <c r="A535" s="122"/>
      <c r="B535" s="122"/>
      <c r="C535" s="122"/>
      <c r="D535" s="122"/>
      <c r="E535" s="122"/>
      <c r="F535" s="123"/>
      <c r="G535" s="123"/>
      <c r="H535" s="123"/>
      <c r="I535" s="123"/>
      <c r="J535" s="123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</row>
    <row r="536">
      <c r="A536" s="122"/>
      <c r="B536" s="122"/>
      <c r="C536" s="122"/>
      <c r="D536" s="122"/>
      <c r="E536" s="122"/>
      <c r="F536" s="123"/>
      <c r="G536" s="123"/>
      <c r="H536" s="123"/>
      <c r="I536" s="123"/>
      <c r="J536" s="123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</row>
    <row r="537">
      <c r="A537" s="122"/>
      <c r="B537" s="122"/>
      <c r="C537" s="122"/>
      <c r="D537" s="122"/>
      <c r="E537" s="122"/>
      <c r="F537" s="123"/>
      <c r="G537" s="123"/>
      <c r="H537" s="123"/>
      <c r="I537" s="123"/>
      <c r="J537" s="123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</row>
    <row r="538">
      <c r="A538" s="122"/>
      <c r="B538" s="122"/>
      <c r="C538" s="122"/>
      <c r="D538" s="122"/>
      <c r="E538" s="122"/>
      <c r="F538" s="123"/>
      <c r="G538" s="123"/>
      <c r="H538" s="123"/>
      <c r="I538" s="123"/>
      <c r="J538" s="123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</row>
    <row r="539">
      <c r="A539" s="122"/>
      <c r="B539" s="122"/>
      <c r="C539" s="122"/>
      <c r="D539" s="122"/>
      <c r="E539" s="122"/>
      <c r="F539" s="123"/>
      <c r="G539" s="123"/>
      <c r="H539" s="123"/>
      <c r="I539" s="123"/>
      <c r="J539" s="123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</row>
    <row r="540">
      <c r="A540" s="122"/>
      <c r="B540" s="122"/>
      <c r="C540" s="122"/>
      <c r="D540" s="122"/>
      <c r="E540" s="122"/>
      <c r="F540" s="123"/>
      <c r="G540" s="123"/>
      <c r="H540" s="123"/>
      <c r="I540" s="123"/>
      <c r="J540" s="123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</row>
    <row r="541">
      <c r="A541" s="122"/>
      <c r="B541" s="122"/>
      <c r="C541" s="122"/>
      <c r="D541" s="122"/>
      <c r="E541" s="122"/>
      <c r="F541" s="123"/>
      <c r="G541" s="123"/>
      <c r="H541" s="123"/>
      <c r="I541" s="123"/>
      <c r="J541" s="123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</row>
    <row r="542">
      <c r="A542" s="122"/>
      <c r="B542" s="122"/>
      <c r="C542" s="122"/>
      <c r="D542" s="122"/>
      <c r="E542" s="122"/>
      <c r="F542" s="123"/>
      <c r="G542" s="123"/>
      <c r="H542" s="123"/>
      <c r="I542" s="123"/>
      <c r="J542" s="123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</row>
    <row r="543">
      <c r="A543" s="122"/>
      <c r="B543" s="122"/>
      <c r="C543" s="122"/>
      <c r="D543" s="122"/>
      <c r="E543" s="122"/>
      <c r="F543" s="123"/>
      <c r="G543" s="123"/>
      <c r="H543" s="123"/>
      <c r="I543" s="123"/>
      <c r="J543" s="123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</row>
    <row r="544">
      <c r="A544" s="122"/>
      <c r="B544" s="122"/>
      <c r="C544" s="122"/>
      <c r="D544" s="122"/>
      <c r="E544" s="122"/>
      <c r="F544" s="123"/>
      <c r="G544" s="123"/>
      <c r="H544" s="123"/>
      <c r="I544" s="123"/>
      <c r="J544" s="123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</row>
    <row r="545">
      <c r="A545" s="122"/>
      <c r="B545" s="122"/>
      <c r="C545" s="122"/>
      <c r="D545" s="122"/>
      <c r="E545" s="122"/>
      <c r="F545" s="123"/>
      <c r="G545" s="123"/>
      <c r="H545" s="123"/>
      <c r="I545" s="123"/>
      <c r="J545" s="123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</row>
    <row r="546">
      <c r="A546" s="122"/>
      <c r="B546" s="122"/>
      <c r="C546" s="122"/>
      <c r="D546" s="122"/>
      <c r="E546" s="122"/>
      <c r="F546" s="123"/>
      <c r="G546" s="123"/>
      <c r="H546" s="123"/>
      <c r="I546" s="123"/>
      <c r="J546" s="123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</row>
    <row r="547">
      <c r="A547" s="122"/>
      <c r="B547" s="122"/>
      <c r="C547" s="122"/>
      <c r="D547" s="122"/>
      <c r="E547" s="122"/>
      <c r="F547" s="123"/>
      <c r="G547" s="123"/>
      <c r="H547" s="123"/>
      <c r="I547" s="123"/>
      <c r="J547" s="123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</row>
    <row r="548">
      <c r="A548" s="122"/>
      <c r="B548" s="122"/>
      <c r="C548" s="122"/>
      <c r="D548" s="122"/>
      <c r="E548" s="122"/>
      <c r="F548" s="123"/>
      <c r="G548" s="123"/>
      <c r="H548" s="123"/>
      <c r="I548" s="123"/>
      <c r="J548" s="123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</row>
    <row r="549">
      <c r="A549" s="122"/>
      <c r="B549" s="122"/>
      <c r="C549" s="122"/>
      <c r="D549" s="122"/>
      <c r="E549" s="122"/>
      <c r="F549" s="123"/>
      <c r="G549" s="123"/>
      <c r="H549" s="123"/>
      <c r="I549" s="123"/>
      <c r="J549" s="123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</row>
    <row r="550">
      <c r="A550" s="122"/>
      <c r="B550" s="122"/>
      <c r="C550" s="122"/>
      <c r="D550" s="122"/>
      <c r="E550" s="122"/>
      <c r="F550" s="123"/>
      <c r="G550" s="123"/>
      <c r="H550" s="123"/>
      <c r="I550" s="123"/>
      <c r="J550" s="123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</row>
    <row r="551">
      <c r="A551" s="122"/>
      <c r="B551" s="122"/>
      <c r="C551" s="122"/>
      <c r="D551" s="122"/>
      <c r="E551" s="122"/>
      <c r="F551" s="123"/>
      <c r="G551" s="123"/>
      <c r="H551" s="123"/>
      <c r="I551" s="123"/>
      <c r="J551" s="123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</row>
    <row r="552">
      <c r="A552" s="122"/>
      <c r="B552" s="122"/>
      <c r="C552" s="122"/>
      <c r="D552" s="122"/>
      <c r="E552" s="122"/>
      <c r="F552" s="123"/>
      <c r="G552" s="123"/>
      <c r="H552" s="123"/>
      <c r="I552" s="123"/>
      <c r="J552" s="123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</row>
    <row r="553">
      <c r="A553" s="122"/>
      <c r="B553" s="122"/>
      <c r="C553" s="122"/>
      <c r="D553" s="122"/>
      <c r="E553" s="122"/>
      <c r="F553" s="123"/>
      <c r="G553" s="123"/>
      <c r="H553" s="123"/>
      <c r="I553" s="123"/>
      <c r="J553" s="123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</row>
    <row r="554">
      <c r="A554" s="122"/>
      <c r="B554" s="122"/>
      <c r="C554" s="122"/>
      <c r="D554" s="122"/>
      <c r="E554" s="122"/>
      <c r="F554" s="123"/>
      <c r="G554" s="123"/>
      <c r="H554" s="123"/>
      <c r="I554" s="123"/>
      <c r="J554" s="123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</row>
    <row r="555">
      <c r="A555" s="122"/>
      <c r="B555" s="122"/>
      <c r="C555" s="122"/>
      <c r="D555" s="122"/>
      <c r="E555" s="122"/>
      <c r="F555" s="123"/>
      <c r="G555" s="123"/>
      <c r="H555" s="123"/>
      <c r="I555" s="123"/>
      <c r="J555" s="123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</row>
    <row r="556">
      <c r="A556" s="122"/>
      <c r="B556" s="122"/>
      <c r="C556" s="122"/>
      <c r="D556" s="122"/>
      <c r="E556" s="122"/>
      <c r="F556" s="123"/>
      <c r="G556" s="123"/>
      <c r="H556" s="123"/>
      <c r="I556" s="123"/>
      <c r="J556" s="123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</row>
    <row r="557">
      <c r="A557" s="122"/>
      <c r="B557" s="122"/>
      <c r="C557" s="122"/>
      <c r="D557" s="122"/>
      <c r="E557" s="122"/>
      <c r="F557" s="123"/>
      <c r="G557" s="123"/>
      <c r="H557" s="123"/>
      <c r="I557" s="123"/>
      <c r="J557" s="123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</row>
    <row r="558">
      <c r="A558" s="122"/>
      <c r="B558" s="122"/>
      <c r="C558" s="122"/>
      <c r="D558" s="122"/>
      <c r="E558" s="122"/>
      <c r="F558" s="123"/>
      <c r="G558" s="123"/>
      <c r="H558" s="123"/>
      <c r="I558" s="123"/>
      <c r="J558" s="123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</row>
    <row r="559">
      <c r="A559" s="122"/>
      <c r="B559" s="122"/>
      <c r="C559" s="122"/>
      <c r="D559" s="122"/>
      <c r="E559" s="122"/>
      <c r="F559" s="123"/>
      <c r="G559" s="123"/>
      <c r="H559" s="123"/>
      <c r="I559" s="123"/>
      <c r="J559" s="123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</row>
    <row r="560">
      <c r="A560" s="122"/>
      <c r="B560" s="122"/>
      <c r="C560" s="122"/>
      <c r="D560" s="122"/>
      <c r="E560" s="122"/>
      <c r="F560" s="123"/>
      <c r="G560" s="123"/>
      <c r="H560" s="123"/>
      <c r="I560" s="123"/>
      <c r="J560" s="123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</row>
    <row r="561">
      <c r="A561" s="122"/>
      <c r="B561" s="122"/>
      <c r="C561" s="122"/>
      <c r="D561" s="122"/>
      <c r="E561" s="122"/>
      <c r="F561" s="123"/>
      <c r="G561" s="123"/>
      <c r="H561" s="123"/>
      <c r="I561" s="123"/>
      <c r="J561" s="123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</row>
    <row r="562">
      <c r="A562" s="122"/>
      <c r="B562" s="122"/>
      <c r="C562" s="122"/>
      <c r="D562" s="122"/>
      <c r="E562" s="122"/>
      <c r="F562" s="123"/>
      <c r="G562" s="123"/>
      <c r="H562" s="123"/>
      <c r="I562" s="123"/>
      <c r="J562" s="123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</row>
    <row r="563">
      <c r="A563" s="122"/>
      <c r="B563" s="122"/>
      <c r="C563" s="122"/>
      <c r="D563" s="122"/>
      <c r="E563" s="122"/>
      <c r="F563" s="123"/>
      <c r="G563" s="123"/>
      <c r="H563" s="123"/>
      <c r="I563" s="123"/>
      <c r="J563" s="123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</row>
    <row r="564">
      <c r="A564" s="122"/>
      <c r="B564" s="122"/>
      <c r="C564" s="122"/>
      <c r="D564" s="122"/>
      <c r="E564" s="122"/>
      <c r="F564" s="123"/>
      <c r="G564" s="123"/>
      <c r="H564" s="123"/>
      <c r="I564" s="123"/>
      <c r="J564" s="123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</row>
    <row r="565">
      <c r="A565" s="122"/>
      <c r="B565" s="122"/>
      <c r="C565" s="122"/>
      <c r="D565" s="122"/>
      <c r="E565" s="122"/>
      <c r="F565" s="123"/>
      <c r="G565" s="123"/>
      <c r="H565" s="123"/>
      <c r="I565" s="123"/>
      <c r="J565" s="123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</row>
    <row r="566">
      <c r="A566" s="122"/>
      <c r="B566" s="122"/>
      <c r="C566" s="122"/>
      <c r="D566" s="122"/>
      <c r="E566" s="122"/>
      <c r="F566" s="123"/>
      <c r="G566" s="123"/>
      <c r="H566" s="123"/>
      <c r="I566" s="123"/>
      <c r="J566" s="123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</row>
    <row r="567">
      <c r="A567" s="122"/>
      <c r="B567" s="122"/>
      <c r="C567" s="122"/>
      <c r="D567" s="122"/>
      <c r="E567" s="122"/>
      <c r="F567" s="123"/>
      <c r="G567" s="123"/>
      <c r="H567" s="123"/>
      <c r="I567" s="123"/>
      <c r="J567" s="123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</row>
    <row r="568">
      <c r="A568" s="122"/>
      <c r="B568" s="122"/>
      <c r="C568" s="122"/>
      <c r="D568" s="122"/>
      <c r="E568" s="122"/>
      <c r="F568" s="123"/>
      <c r="G568" s="123"/>
      <c r="H568" s="123"/>
      <c r="I568" s="123"/>
      <c r="J568" s="123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</row>
    <row r="569">
      <c r="A569" s="122"/>
      <c r="B569" s="122"/>
      <c r="C569" s="122"/>
      <c r="D569" s="122"/>
      <c r="E569" s="122"/>
      <c r="F569" s="123"/>
      <c r="G569" s="123"/>
      <c r="H569" s="123"/>
      <c r="I569" s="123"/>
      <c r="J569" s="123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</row>
    <row r="570">
      <c r="A570" s="122"/>
      <c r="B570" s="122"/>
      <c r="C570" s="122"/>
      <c r="D570" s="122"/>
      <c r="E570" s="122"/>
      <c r="F570" s="123"/>
      <c r="G570" s="123"/>
      <c r="H570" s="123"/>
      <c r="I570" s="123"/>
      <c r="J570" s="123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</row>
    <row r="571">
      <c r="A571" s="122"/>
      <c r="B571" s="122"/>
      <c r="C571" s="122"/>
      <c r="D571" s="122"/>
      <c r="E571" s="122"/>
      <c r="F571" s="123"/>
      <c r="G571" s="123"/>
      <c r="H571" s="123"/>
      <c r="I571" s="123"/>
      <c r="J571" s="123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</row>
    <row r="572">
      <c r="A572" s="122"/>
      <c r="B572" s="122"/>
      <c r="C572" s="122"/>
      <c r="D572" s="122"/>
      <c r="E572" s="122"/>
      <c r="F572" s="123"/>
      <c r="G572" s="123"/>
      <c r="H572" s="123"/>
      <c r="I572" s="123"/>
      <c r="J572" s="123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</row>
    <row r="573">
      <c r="A573" s="122"/>
      <c r="B573" s="122"/>
      <c r="C573" s="122"/>
      <c r="D573" s="122"/>
      <c r="E573" s="122"/>
      <c r="F573" s="123"/>
      <c r="G573" s="123"/>
      <c r="H573" s="123"/>
      <c r="I573" s="123"/>
      <c r="J573" s="123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</row>
    <row r="574">
      <c r="A574" s="122"/>
      <c r="B574" s="122"/>
      <c r="C574" s="122"/>
      <c r="D574" s="122"/>
      <c r="E574" s="122"/>
      <c r="F574" s="123"/>
      <c r="G574" s="123"/>
      <c r="H574" s="123"/>
      <c r="I574" s="123"/>
      <c r="J574" s="123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</row>
    <row r="575">
      <c r="A575" s="122"/>
      <c r="B575" s="122"/>
      <c r="C575" s="122"/>
      <c r="D575" s="122"/>
      <c r="E575" s="122"/>
      <c r="F575" s="123"/>
      <c r="G575" s="123"/>
      <c r="H575" s="123"/>
      <c r="I575" s="123"/>
      <c r="J575" s="123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</row>
    <row r="576">
      <c r="A576" s="122"/>
      <c r="B576" s="122"/>
      <c r="C576" s="122"/>
      <c r="D576" s="122"/>
      <c r="E576" s="122"/>
      <c r="F576" s="123"/>
      <c r="G576" s="123"/>
      <c r="H576" s="123"/>
      <c r="I576" s="123"/>
      <c r="J576" s="123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</row>
    <row r="577">
      <c r="A577" s="122"/>
      <c r="B577" s="122"/>
      <c r="C577" s="122"/>
      <c r="D577" s="122"/>
      <c r="E577" s="122"/>
      <c r="F577" s="123"/>
      <c r="G577" s="123"/>
      <c r="H577" s="123"/>
      <c r="I577" s="123"/>
      <c r="J577" s="123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</row>
    <row r="578">
      <c r="A578" s="122"/>
      <c r="B578" s="122"/>
      <c r="C578" s="122"/>
      <c r="D578" s="122"/>
      <c r="E578" s="122"/>
      <c r="F578" s="123"/>
      <c r="G578" s="123"/>
      <c r="H578" s="123"/>
      <c r="I578" s="123"/>
      <c r="J578" s="123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</row>
    <row r="579">
      <c r="A579" s="122"/>
      <c r="B579" s="122"/>
      <c r="C579" s="122"/>
      <c r="D579" s="122"/>
      <c r="E579" s="122"/>
      <c r="F579" s="123"/>
      <c r="G579" s="123"/>
      <c r="H579" s="123"/>
      <c r="I579" s="123"/>
      <c r="J579" s="123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</row>
    <row r="580">
      <c r="A580" s="122"/>
      <c r="B580" s="122"/>
      <c r="C580" s="122"/>
      <c r="D580" s="122"/>
      <c r="E580" s="122"/>
      <c r="F580" s="123"/>
      <c r="G580" s="123"/>
      <c r="H580" s="123"/>
      <c r="I580" s="123"/>
      <c r="J580" s="123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</row>
    <row r="581">
      <c r="A581" s="122"/>
      <c r="B581" s="122"/>
      <c r="C581" s="122"/>
      <c r="D581" s="122"/>
      <c r="E581" s="122"/>
      <c r="F581" s="123"/>
      <c r="G581" s="123"/>
      <c r="H581" s="123"/>
      <c r="I581" s="123"/>
      <c r="J581" s="123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</row>
    <row r="582">
      <c r="A582" s="122"/>
      <c r="B582" s="122"/>
      <c r="C582" s="122"/>
      <c r="D582" s="122"/>
      <c r="E582" s="122"/>
      <c r="F582" s="123"/>
      <c r="G582" s="123"/>
      <c r="H582" s="123"/>
      <c r="I582" s="123"/>
      <c r="J582" s="123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</row>
    <row r="583">
      <c r="A583" s="122"/>
      <c r="B583" s="122"/>
      <c r="C583" s="122"/>
      <c r="D583" s="122"/>
      <c r="E583" s="122"/>
      <c r="F583" s="123"/>
      <c r="G583" s="123"/>
      <c r="H583" s="123"/>
      <c r="I583" s="123"/>
      <c r="J583" s="123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</row>
    <row r="584">
      <c r="A584" s="122"/>
      <c r="B584" s="122"/>
      <c r="C584" s="122"/>
      <c r="D584" s="122"/>
      <c r="E584" s="122"/>
      <c r="F584" s="123"/>
      <c r="G584" s="123"/>
      <c r="H584" s="123"/>
      <c r="I584" s="123"/>
      <c r="J584" s="123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</row>
    <row r="585">
      <c r="A585" s="122"/>
      <c r="B585" s="122"/>
      <c r="C585" s="122"/>
      <c r="D585" s="122"/>
      <c r="E585" s="122"/>
      <c r="F585" s="123"/>
      <c r="G585" s="123"/>
      <c r="H585" s="123"/>
      <c r="I585" s="123"/>
      <c r="J585" s="123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</row>
    <row r="586">
      <c r="A586" s="122"/>
      <c r="B586" s="122"/>
      <c r="C586" s="122"/>
      <c r="D586" s="122"/>
      <c r="E586" s="122"/>
      <c r="F586" s="123"/>
      <c r="G586" s="123"/>
      <c r="H586" s="123"/>
      <c r="I586" s="123"/>
      <c r="J586" s="123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</row>
    <row r="587">
      <c r="A587" s="122"/>
      <c r="B587" s="122"/>
      <c r="C587" s="122"/>
      <c r="D587" s="122"/>
      <c r="E587" s="122"/>
      <c r="F587" s="123"/>
      <c r="G587" s="123"/>
      <c r="H587" s="123"/>
      <c r="I587" s="123"/>
      <c r="J587" s="123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</row>
    <row r="588">
      <c r="A588" s="122"/>
      <c r="B588" s="122"/>
      <c r="C588" s="122"/>
      <c r="D588" s="122"/>
      <c r="E588" s="122"/>
      <c r="F588" s="123"/>
      <c r="G588" s="123"/>
      <c r="H588" s="123"/>
      <c r="I588" s="123"/>
      <c r="J588" s="123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</row>
    <row r="589">
      <c r="A589" s="122"/>
      <c r="B589" s="122"/>
      <c r="C589" s="122"/>
      <c r="D589" s="122"/>
      <c r="E589" s="122"/>
      <c r="F589" s="123"/>
      <c r="G589" s="123"/>
      <c r="H589" s="123"/>
      <c r="I589" s="123"/>
      <c r="J589" s="123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</row>
    <row r="590">
      <c r="A590" s="122"/>
      <c r="B590" s="122"/>
      <c r="C590" s="122"/>
      <c r="D590" s="122"/>
      <c r="E590" s="122"/>
      <c r="F590" s="123"/>
      <c r="G590" s="123"/>
      <c r="H590" s="123"/>
      <c r="I590" s="123"/>
      <c r="J590" s="123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</row>
    <row r="591">
      <c r="A591" s="122"/>
      <c r="B591" s="122"/>
      <c r="C591" s="122"/>
      <c r="D591" s="122"/>
      <c r="E591" s="122"/>
      <c r="F591" s="123"/>
      <c r="G591" s="123"/>
      <c r="H591" s="123"/>
      <c r="I591" s="123"/>
      <c r="J591" s="123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</row>
    <row r="592">
      <c r="A592" s="122"/>
      <c r="B592" s="122"/>
      <c r="C592" s="122"/>
      <c r="D592" s="122"/>
      <c r="E592" s="122"/>
      <c r="F592" s="123"/>
      <c r="G592" s="123"/>
      <c r="H592" s="123"/>
      <c r="I592" s="123"/>
      <c r="J592" s="123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</row>
    <row r="593">
      <c r="A593" s="122"/>
      <c r="B593" s="122"/>
      <c r="C593" s="122"/>
      <c r="D593" s="122"/>
      <c r="E593" s="122"/>
      <c r="F593" s="123"/>
      <c r="G593" s="123"/>
      <c r="H593" s="123"/>
      <c r="I593" s="123"/>
      <c r="J593" s="123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</row>
    <row r="594">
      <c r="A594" s="122"/>
      <c r="B594" s="122"/>
      <c r="C594" s="122"/>
      <c r="D594" s="122"/>
      <c r="E594" s="122"/>
      <c r="F594" s="123"/>
      <c r="G594" s="123"/>
      <c r="H594" s="123"/>
      <c r="I594" s="123"/>
      <c r="J594" s="123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</row>
    <row r="595">
      <c r="A595" s="122"/>
      <c r="B595" s="122"/>
      <c r="C595" s="122"/>
      <c r="D595" s="122"/>
      <c r="E595" s="122"/>
      <c r="F595" s="123"/>
      <c r="G595" s="123"/>
      <c r="H595" s="123"/>
      <c r="I595" s="123"/>
      <c r="J595" s="123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</row>
    <row r="596">
      <c r="A596" s="122"/>
      <c r="B596" s="122"/>
      <c r="C596" s="122"/>
      <c r="D596" s="122"/>
      <c r="E596" s="122"/>
      <c r="F596" s="123"/>
      <c r="G596" s="123"/>
      <c r="H596" s="123"/>
      <c r="I596" s="123"/>
      <c r="J596" s="123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</row>
    <row r="597">
      <c r="A597" s="122"/>
      <c r="B597" s="122"/>
      <c r="C597" s="122"/>
      <c r="D597" s="122"/>
      <c r="E597" s="122"/>
      <c r="F597" s="123"/>
      <c r="G597" s="123"/>
      <c r="H597" s="123"/>
      <c r="I597" s="123"/>
      <c r="J597" s="123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</row>
    <row r="598">
      <c r="A598" s="122"/>
      <c r="B598" s="122"/>
      <c r="C598" s="122"/>
      <c r="D598" s="122"/>
      <c r="E598" s="122"/>
      <c r="F598" s="123"/>
      <c r="G598" s="123"/>
      <c r="H598" s="123"/>
      <c r="I598" s="123"/>
      <c r="J598" s="123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</row>
    <row r="599">
      <c r="A599" s="122"/>
      <c r="B599" s="122"/>
      <c r="C599" s="122"/>
      <c r="D599" s="122"/>
      <c r="E599" s="122"/>
      <c r="F599" s="123"/>
      <c r="G599" s="123"/>
      <c r="H599" s="123"/>
      <c r="I599" s="123"/>
      <c r="J599" s="123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</row>
    <row r="600">
      <c r="A600" s="122"/>
      <c r="B600" s="122"/>
      <c r="C600" s="122"/>
      <c r="D600" s="122"/>
      <c r="E600" s="122"/>
      <c r="F600" s="123"/>
      <c r="G600" s="123"/>
      <c r="H600" s="123"/>
      <c r="I600" s="123"/>
      <c r="J600" s="123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</row>
    <row r="601">
      <c r="A601" s="122"/>
      <c r="B601" s="122"/>
      <c r="C601" s="122"/>
      <c r="D601" s="122"/>
      <c r="E601" s="122"/>
      <c r="F601" s="123"/>
      <c r="G601" s="123"/>
      <c r="H601" s="123"/>
      <c r="I601" s="123"/>
      <c r="J601" s="123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</row>
    <row r="602">
      <c r="A602" s="122"/>
      <c r="B602" s="122"/>
      <c r="C602" s="122"/>
      <c r="D602" s="122"/>
      <c r="E602" s="122"/>
      <c r="F602" s="123"/>
      <c r="G602" s="123"/>
      <c r="H602" s="123"/>
      <c r="I602" s="123"/>
      <c r="J602" s="123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</row>
    <row r="603">
      <c r="A603" s="122"/>
      <c r="B603" s="122"/>
      <c r="C603" s="122"/>
      <c r="D603" s="122"/>
      <c r="E603" s="122"/>
      <c r="F603" s="123"/>
      <c r="G603" s="123"/>
      <c r="H603" s="123"/>
      <c r="I603" s="123"/>
      <c r="J603" s="123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</row>
    <row r="604">
      <c r="A604" s="122"/>
      <c r="B604" s="122"/>
      <c r="C604" s="122"/>
      <c r="D604" s="122"/>
      <c r="E604" s="122"/>
      <c r="F604" s="123"/>
      <c r="G604" s="123"/>
      <c r="H604" s="123"/>
      <c r="I604" s="123"/>
      <c r="J604" s="123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</row>
    <row r="605">
      <c r="A605" s="122"/>
      <c r="B605" s="122"/>
      <c r="C605" s="122"/>
      <c r="D605" s="122"/>
      <c r="E605" s="122"/>
      <c r="F605" s="123"/>
      <c r="G605" s="123"/>
      <c r="H605" s="123"/>
      <c r="I605" s="123"/>
      <c r="J605" s="123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</row>
    <row r="606">
      <c r="A606" s="122"/>
      <c r="B606" s="122"/>
      <c r="C606" s="122"/>
      <c r="D606" s="122"/>
      <c r="E606" s="122"/>
      <c r="F606" s="123"/>
      <c r="G606" s="123"/>
      <c r="H606" s="123"/>
      <c r="I606" s="123"/>
      <c r="J606" s="123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</row>
    <row r="607">
      <c r="A607" s="122"/>
      <c r="B607" s="122"/>
      <c r="C607" s="122"/>
      <c r="D607" s="122"/>
      <c r="E607" s="122"/>
      <c r="F607" s="123"/>
      <c r="G607" s="123"/>
      <c r="H607" s="123"/>
      <c r="I607" s="123"/>
      <c r="J607" s="123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</row>
    <row r="608">
      <c r="A608" s="122"/>
      <c r="B608" s="122"/>
      <c r="C608" s="122"/>
      <c r="D608" s="122"/>
      <c r="E608" s="122"/>
      <c r="F608" s="123"/>
      <c r="G608" s="123"/>
      <c r="H608" s="123"/>
      <c r="I608" s="123"/>
      <c r="J608" s="123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</row>
    <row r="609">
      <c r="A609" s="122"/>
      <c r="B609" s="122"/>
      <c r="C609" s="122"/>
      <c r="D609" s="122"/>
      <c r="E609" s="122"/>
      <c r="F609" s="123"/>
      <c r="G609" s="123"/>
      <c r="H609" s="123"/>
      <c r="I609" s="123"/>
      <c r="J609" s="123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</row>
    <row r="610">
      <c r="A610" s="122"/>
      <c r="B610" s="122"/>
      <c r="C610" s="122"/>
      <c r="D610" s="122"/>
      <c r="E610" s="122"/>
      <c r="F610" s="123"/>
      <c r="G610" s="123"/>
      <c r="H610" s="123"/>
      <c r="I610" s="123"/>
      <c r="J610" s="123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</row>
    <row r="611">
      <c r="A611" s="122"/>
      <c r="B611" s="122"/>
      <c r="C611" s="122"/>
      <c r="D611" s="122"/>
      <c r="E611" s="122"/>
      <c r="F611" s="123"/>
      <c r="G611" s="123"/>
      <c r="H611" s="123"/>
      <c r="I611" s="123"/>
      <c r="J611" s="123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</row>
    <row r="612">
      <c r="A612" s="122"/>
      <c r="B612" s="122"/>
      <c r="C612" s="122"/>
      <c r="D612" s="122"/>
      <c r="E612" s="122"/>
      <c r="F612" s="123"/>
      <c r="G612" s="123"/>
      <c r="H612" s="123"/>
      <c r="I612" s="123"/>
      <c r="J612" s="123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</row>
    <row r="613">
      <c r="A613" s="122"/>
      <c r="B613" s="122"/>
      <c r="C613" s="122"/>
      <c r="D613" s="122"/>
      <c r="E613" s="122"/>
      <c r="F613" s="123"/>
      <c r="G613" s="123"/>
      <c r="H613" s="123"/>
      <c r="I613" s="123"/>
      <c r="J613" s="123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</row>
    <row r="614">
      <c r="A614" s="122"/>
      <c r="B614" s="122"/>
      <c r="C614" s="122"/>
      <c r="D614" s="122"/>
      <c r="E614" s="122"/>
      <c r="F614" s="123"/>
      <c r="G614" s="123"/>
      <c r="H614" s="123"/>
      <c r="I614" s="123"/>
      <c r="J614" s="123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</row>
    <row r="615">
      <c r="A615" s="122"/>
      <c r="B615" s="122"/>
      <c r="C615" s="122"/>
      <c r="D615" s="122"/>
      <c r="E615" s="122"/>
      <c r="F615" s="123"/>
      <c r="G615" s="123"/>
      <c r="H615" s="123"/>
      <c r="I615" s="123"/>
      <c r="J615" s="123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</row>
    <row r="616">
      <c r="A616" s="122"/>
      <c r="B616" s="122"/>
      <c r="C616" s="122"/>
      <c r="D616" s="122"/>
      <c r="E616" s="122"/>
      <c r="F616" s="123"/>
      <c r="G616" s="123"/>
      <c r="H616" s="123"/>
      <c r="I616" s="123"/>
      <c r="J616" s="123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</row>
    <row r="617">
      <c r="A617" s="122"/>
      <c r="B617" s="122"/>
      <c r="C617" s="122"/>
      <c r="D617" s="122"/>
      <c r="E617" s="122"/>
      <c r="F617" s="123"/>
      <c r="G617" s="123"/>
      <c r="H617" s="123"/>
      <c r="I617" s="123"/>
      <c r="J617" s="123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</row>
    <row r="618">
      <c r="A618" s="122"/>
      <c r="B618" s="122"/>
      <c r="C618" s="122"/>
      <c r="D618" s="122"/>
      <c r="E618" s="122"/>
      <c r="F618" s="123"/>
      <c r="G618" s="123"/>
      <c r="H618" s="123"/>
      <c r="I618" s="123"/>
      <c r="J618" s="123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</row>
    <row r="619">
      <c r="A619" s="122"/>
      <c r="B619" s="122"/>
      <c r="C619" s="122"/>
      <c r="D619" s="122"/>
      <c r="E619" s="122"/>
      <c r="F619" s="123"/>
      <c r="G619" s="123"/>
      <c r="H619" s="123"/>
      <c r="I619" s="123"/>
      <c r="J619" s="123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</row>
    <row r="620">
      <c r="A620" s="122"/>
      <c r="B620" s="122"/>
      <c r="C620" s="122"/>
      <c r="D620" s="122"/>
      <c r="E620" s="122"/>
      <c r="F620" s="123"/>
      <c r="G620" s="123"/>
      <c r="H620" s="123"/>
      <c r="I620" s="123"/>
      <c r="J620" s="123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</row>
    <row r="621">
      <c r="A621" s="122"/>
      <c r="B621" s="122"/>
      <c r="C621" s="122"/>
      <c r="D621" s="122"/>
      <c r="E621" s="122"/>
      <c r="F621" s="123"/>
      <c r="G621" s="123"/>
      <c r="H621" s="123"/>
      <c r="I621" s="123"/>
      <c r="J621" s="123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</row>
    <row r="622">
      <c r="A622" s="122"/>
      <c r="B622" s="122"/>
      <c r="C622" s="122"/>
      <c r="D622" s="122"/>
      <c r="E622" s="122"/>
      <c r="F622" s="123"/>
      <c r="G622" s="123"/>
      <c r="H622" s="123"/>
      <c r="I622" s="123"/>
      <c r="J622" s="123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</row>
    <row r="623">
      <c r="A623" s="122"/>
      <c r="B623" s="122"/>
      <c r="C623" s="122"/>
      <c r="D623" s="122"/>
      <c r="E623" s="122"/>
      <c r="F623" s="123"/>
      <c r="G623" s="123"/>
      <c r="H623" s="123"/>
      <c r="I623" s="123"/>
      <c r="J623" s="123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</row>
    <row r="624">
      <c r="A624" s="122"/>
      <c r="B624" s="122"/>
      <c r="C624" s="122"/>
      <c r="D624" s="122"/>
      <c r="E624" s="122"/>
      <c r="F624" s="123"/>
      <c r="G624" s="123"/>
      <c r="H624" s="123"/>
      <c r="I624" s="123"/>
      <c r="J624" s="123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</row>
    <row r="625">
      <c r="A625" s="122"/>
      <c r="B625" s="122"/>
      <c r="C625" s="122"/>
      <c r="D625" s="122"/>
      <c r="E625" s="122"/>
      <c r="F625" s="123"/>
      <c r="G625" s="123"/>
      <c r="H625" s="123"/>
      <c r="I625" s="123"/>
      <c r="J625" s="123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</row>
    <row r="626">
      <c r="A626" s="122"/>
      <c r="B626" s="122"/>
      <c r="C626" s="122"/>
      <c r="D626" s="122"/>
      <c r="E626" s="122"/>
      <c r="F626" s="123"/>
      <c r="G626" s="123"/>
      <c r="H626" s="123"/>
      <c r="I626" s="123"/>
      <c r="J626" s="123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</row>
    <row r="627">
      <c r="A627" s="122"/>
      <c r="B627" s="122"/>
      <c r="C627" s="122"/>
      <c r="D627" s="122"/>
      <c r="E627" s="122"/>
      <c r="F627" s="123"/>
      <c r="G627" s="123"/>
      <c r="H627" s="123"/>
      <c r="I627" s="123"/>
      <c r="J627" s="123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</row>
    <row r="628">
      <c r="A628" s="122"/>
      <c r="B628" s="122"/>
      <c r="C628" s="122"/>
      <c r="D628" s="122"/>
      <c r="E628" s="122"/>
      <c r="F628" s="123"/>
      <c r="G628" s="123"/>
      <c r="H628" s="123"/>
      <c r="I628" s="123"/>
      <c r="J628" s="123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</row>
    <row r="629">
      <c r="A629" s="122"/>
      <c r="B629" s="122"/>
      <c r="C629" s="122"/>
      <c r="D629" s="122"/>
      <c r="E629" s="122"/>
      <c r="F629" s="123"/>
      <c r="G629" s="123"/>
      <c r="H629" s="123"/>
      <c r="I629" s="123"/>
      <c r="J629" s="123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</row>
    <row r="630">
      <c r="A630" s="122"/>
      <c r="B630" s="122"/>
      <c r="C630" s="122"/>
      <c r="D630" s="122"/>
      <c r="E630" s="122"/>
      <c r="F630" s="123"/>
      <c r="G630" s="123"/>
      <c r="H630" s="123"/>
      <c r="I630" s="123"/>
      <c r="J630" s="123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</row>
    <row r="631">
      <c r="A631" s="122"/>
      <c r="B631" s="122"/>
      <c r="C631" s="122"/>
      <c r="D631" s="122"/>
      <c r="E631" s="122"/>
      <c r="F631" s="123"/>
      <c r="G631" s="123"/>
      <c r="H631" s="123"/>
      <c r="I631" s="123"/>
      <c r="J631" s="123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</row>
    <row r="632">
      <c r="A632" s="122"/>
      <c r="B632" s="122"/>
      <c r="C632" s="122"/>
      <c r="D632" s="122"/>
      <c r="E632" s="122"/>
      <c r="F632" s="123"/>
      <c r="G632" s="123"/>
      <c r="H632" s="123"/>
      <c r="I632" s="123"/>
      <c r="J632" s="123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</row>
    <row r="633">
      <c r="A633" s="122"/>
      <c r="B633" s="122"/>
      <c r="C633" s="122"/>
      <c r="D633" s="122"/>
      <c r="E633" s="122"/>
      <c r="F633" s="123"/>
      <c r="G633" s="123"/>
      <c r="H633" s="123"/>
      <c r="I633" s="123"/>
      <c r="J633" s="123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</row>
    <row r="634">
      <c r="A634" s="122"/>
      <c r="B634" s="122"/>
      <c r="C634" s="122"/>
      <c r="D634" s="122"/>
      <c r="E634" s="122"/>
      <c r="F634" s="123"/>
      <c r="G634" s="123"/>
      <c r="H634" s="123"/>
      <c r="I634" s="123"/>
      <c r="J634" s="123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</row>
    <row r="635">
      <c r="A635" s="122"/>
      <c r="B635" s="122"/>
      <c r="C635" s="122"/>
      <c r="D635" s="122"/>
      <c r="E635" s="122"/>
      <c r="F635" s="123"/>
      <c r="G635" s="123"/>
      <c r="H635" s="123"/>
      <c r="I635" s="123"/>
      <c r="J635" s="123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</row>
    <row r="636">
      <c r="A636" s="122"/>
      <c r="B636" s="122"/>
      <c r="C636" s="122"/>
      <c r="D636" s="122"/>
      <c r="E636" s="122"/>
      <c r="F636" s="123"/>
      <c r="G636" s="123"/>
      <c r="H636" s="123"/>
      <c r="I636" s="123"/>
      <c r="J636" s="123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</row>
    <row r="637">
      <c r="A637" s="122"/>
      <c r="B637" s="122"/>
      <c r="C637" s="122"/>
      <c r="D637" s="122"/>
      <c r="E637" s="122"/>
      <c r="F637" s="123"/>
      <c r="G637" s="123"/>
      <c r="H637" s="123"/>
      <c r="I637" s="123"/>
      <c r="J637" s="123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</row>
    <row r="638">
      <c r="A638" s="122"/>
      <c r="B638" s="122"/>
      <c r="C638" s="122"/>
      <c r="D638" s="122"/>
      <c r="E638" s="122"/>
      <c r="F638" s="123"/>
      <c r="G638" s="123"/>
      <c r="H638" s="123"/>
      <c r="I638" s="123"/>
      <c r="J638" s="123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</row>
    <row r="639">
      <c r="A639" s="122"/>
      <c r="B639" s="122"/>
      <c r="C639" s="122"/>
      <c r="D639" s="122"/>
      <c r="E639" s="122"/>
      <c r="F639" s="123"/>
      <c r="G639" s="123"/>
      <c r="H639" s="123"/>
      <c r="I639" s="123"/>
      <c r="J639" s="123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</row>
    <row r="640">
      <c r="A640" s="122"/>
      <c r="B640" s="122"/>
      <c r="C640" s="122"/>
      <c r="D640" s="122"/>
      <c r="E640" s="122"/>
      <c r="F640" s="123"/>
      <c r="G640" s="123"/>
      <c r="H640" s="123"/>
      <c r="I640" s="123"/>
      <c r="J640" s="123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</row>
    <row r="641">
      <c r="A641" s="122"/>
      <c r="B641" s="122"/>
      <c r="C641" s="122"/>
      <c r="D641" s="122"/>
      <c r="E641" s="122"/>
      <c r="F641" s="123"/>
      <c r="G641" s="123"/>
      <c r="H641" s="123"/>
      <c r="I641" s="123"/>
      <c r="J641" s="123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</row>
    <row r="642">
      <c r="A642" s="122"/>
      <c r="B642" s="122"/>
      <c r="C642" s="122"/>
      <c r="D642" s="122"/>
      <c r="E642" s="122"/>
      <c r="F642" s="123"/>
      <c r="G642" s="123"/>
      <c r="H642" s="123"/>
      <c r="I642" s="123"/>
      <c r="J642" s="123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</row>
    <row r="643">
      <c r="A643" s="122"/>
      <c r="B643" s="122"/>
      <c r="C643" s="122"/>
      <c r="D643" s="122"/>
      <c r="E643" s="122"/>
      <c r="F643" s="123"/>
      <c r="G643" s="123"/>
      <c r="H643" s="123"/>
      <c r="I643" s="123"/>
      <c r="J643" s="123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</row>
    <row r="644">
      <c r="A644" s="122"/>
      <c r="B644" s="122"/>
      <c r="C644" s="122"/>
      <c r="D644" s="122"/>
      <c r="E644" s="122"/>
      <c r="F644" s="123"/>
      <c r="G644" s="123"/>
      <c r="H644" s="123"/>
      <c r="I644" s="123"/>
      <c r="J644" s="123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</row>
    <row r="645">
      <c r="A645" s="122"/>
      <c r="B645" s="122"/>
      <c r="C645" s="122"/>
      <c r="D645" s="122"/>
      <c r="E645" s="122"/>
      <c r="F645" s="123"/>
      <c r="G645" s="123"/>
      <c r="H645" s="123"/>
      <c r="I645" s="123"/>
      <c r="J645" s="123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</row>
    <row r="646">
      <c r="A646" s="122"/>
      <c r="B646" s="122"/>
      <c r="C646" s="122"/>
      <c r="D646" s="122"/>
      <c r="E646" s="122"/>
      <c r="F646" s="123"/>
      <c r="G646" s="123"/>
      <c r="H646" s="123"/>
      <c r="I646" s="123"/>
      <c r="J646" s="123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</row>
    <row r="647">
      <c r="A647" s="122"/>
      <c r="B647" s="122"/>
      <c r="C647" s="122"/>
      <c r="D647" s="122"/>
      <c r="E647" s="122"/>
      <c r="F647" s="123"/>
      <c r="G647" s="123"/>
      <c r="H647" s="123"/>
      <c r="I647" s="123"/>
      <c r="J647" s="123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</row>
    <row r="648">
      <c r="A648" s="122"/>
      <c r="B648" s="122"/>
      <c r="C648" s="122"/>
      <c r="D648" s="122"/>
      <c r="E648" s="122"/>
      <c r="F648" s="123"/>
      <c r="G648" s="123"/>
      <c r="H648" s="123"/>
      <c r="I648" s="123"/>
      <c r="J648" s="123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</row>
    <row r="649">
      <c r="A649" s="122"/>
      <c r="B649" s="122"/>
      <c r="C649" s="122"/>
      <c r="D649" s="122"/>
      <c r="E649" s="122"/>
      <c r="F649" s="123"/>
      <c r="G649" s="123"/>
      <c r="H649" s="123"/>
      <c r="I649" s="123"/>
      <c r="J649" s="123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</row>
    <row r="650">
      <c r="A650" s="122"/>
      <c r="B650" s="122"/>
      <c r="C650" s="122"/>
      <c r="D650" s="122"/>
      <c r="E650" s="122"/>
      <c r="F650" s="123"/>
      <c r="G650" s="123"/>
      <c r="H650" s="123"/>
      <c r="I650" s="123"/>
      <c r="J650" s="123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</row>
    <row r="651">
      <c r="A651" s="122"/>
      <c r="B651" s="122"/>
      <c r="C651" s="122"/>
      <c r="D651" s="122"/>
      <c r="E651" s="122"/>
      <c r="F651" s="123"/>
      <c r="G651" s="123"/>
      <c r="H651" s="123"/>
      <c r="I651" s="123"/>
      <c r="J651" s="123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</row>
    <row r="652">
      <c r="A652" s="122"/>
      <c r="B652" s="122"/>
      <c r="C652" s="122"/>
      <c r="D652" s="122"/>
      <c r="E652" s="122"/>
      <c r="F652" s="123"/>
      <c r="G652" s="123"/>
      <c r="H652" s="123"/>
      <c r="I652" s="123"/>
      <c r="J652" s="123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</row>
    <row r="653">
      <c r="A653" s="122"/>
      <c r="B653" s="122"/>
      <c r="C653" s="122"/>
      <c r="D653" s="122"/>
      <c r="E653" s="122"/>
      <c r="F653" s="123"/>
      <c r="G653" s="123"/>
      <c r="H653" s="123"/>
      <c r="I653" s="123"/>
      <c r="J653" s="123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</row>
    <row r="654">
      <c r="A654" s="122"/>
      <c r="B654" s="122"/>
      <c r="C654" s="122"/>
      <c r="D654" s="122"/>
      <c r="E654" s="122"/>
      <c r="F654" s="123"/>
      <c r="G654" s="123"/>
      <c r="H654" s="123"/>
      <c r="I654" s="123"/>
      <c r="J654" s="123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</row>
    <row r="655">
      <c r="A655" s="122"/>
      <c r="B655" s="122"/>
      <c r="C655" s="122"/>
      <c r="D655" s="122"/>
      <c r="E655" s="122"/>
      <c r="F655" s="123"/>
      <c r="G655" s="123"/>
      <c r="H655" s="123"/>
      <c r="I655" s="123"/>
      <c r="J655" s="123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</row>
    <row r="656">
      <c r="A656" s="122"/>
      <c r="B656" s="122"/>
      <c r="C656" s="122"/>
      <c r="D656" s="122"/>
      <c r="E656" s="122"/>
      <c r="F656" s="123"/>
      <c r="G656" s="123"/>
      <c r="H656" s="123"/>
      <c r="I656" s="123"/>
      <c r="J656" s="123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</row>
    <row r="657">
      <c r="A657" s="122"/>
      <c r="B657" s="122"/>
      <c r="C657" s="122"/>
      <c r="D657" s="122"/>
      <c r="E657" s="122"/>
      <c r="F657" s="123"/>
      <c r="G657" s="123"/>
      <c r="H657" s="123"/>
      <c r="I657" s="123"/>
      <c r="J657" s="123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</row>
    <row r="658">
      <c r="A658" s="122"/>
      <c r="B658" s="122"/>
      <c r="C658" s="122"/>
      <c r="D658" s="122"/>
      <c r="E658" s="122"/>
      <c r="F658" s="123"/>
      <c r="G658" s="123"/>
      <c r="H658" s="123"/>
      <c r="I658" s="123"/>
      <c r="J658" s="123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</row>
    <row r="659">
      <c r="A659" s="122"/>
      <c r="B659" s="122"/>
      <c r="C659" s="122"/>
      <c r="D659" s="122"/>
      <c r="E659" s="122"/>
      <c r="F659" s="123"/>
      <c r="G659" s="123"/>
      <c r="H659" s="123"/>
      <c r="I659" s="123"/>
      <c r="J659" s="123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</row>
    <row r="660">
      <c r="A660" s="122"/>
      <c r="B660" s="122"/>
      <c r="C660" s="122"/>
      <c r="D660" s="122"/>
      <c r="E660" s="122"/>
      <c r="F660" s="123"/>
      <c r="G660" s="123"/>
      <c r="H660" s="123"/>
      <c r="I660" s="123"/>
      <c r="J660" s="123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</row>
    <row r="661">
      <c r="A661" s="122"/>
      <c r="B661" s="122"/>
      <c r="C661" s="122"/>
      <c r="D661" s="122"/>
      <c r="E661" s="122"/>
      <c r="F661" s="123"/>
      <c r="G661" s="123"/>
      <c r="H661" s="123"/>
      <c r="I661" s="123"/>
      <c r="J661" s="123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</row>
    <row r="662">
      <c r="A662" s="122"/>
      <c r="B662" s="122"/>
      <c r="C662" s="122"/>
      <c r="D662" s="122"/>
      <c r="E662" s="122"/>
      <c r="F662" s="123"/>
      <c r="G662" s="123"/>
      <c r="H662" s="123"/>
      <c r="I662" s="123"/>
      <c r="J662" s="123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</row>
    <row r="663">
      <c r="A663" s="122"/>
      <c r="B663" s="122"/>
      <c r="C663" s="122"/>
      <c r="D663" s="122"/>
      <c r="E663" s="122"/>
      <c r="F663" s="123"/>
      <c r="G663" s="123"/>
      <c r="H663" s="123"/>
      <c r="I663" s="123"/>
      <c r="J663" s="123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</row>
    <row r="664">
      <c r="A664" s="122"/>
      <c r="B664" s="122"/>
      <c r="C664" s="122"/>
      <c r="D664" s="122"/>
      <c r="E664" s="122"/>
      <c r="F664" s="123"/>
      <c r="G664" s="123"/>
      <c r="H664" s="123"/>
      <c r="I664" s="123"/>
      <c r="J664" s="123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</row>
    <row r="665">
      <c r="A665" s="122"/>
      <c r="B665" s="122"/>
      <c r="C665" s="122"/>
      <c r="D665" s="122"/>
      <c r="E665" s="122"/>
      <c r="F665" s="123"/>
      <c r="G665" s="123"/>
      <c r="H665" s="123"/>
      <c r="I665" s="123"/>
      <c r="J665" s="123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</row>
    <row r="666">
      <c r="A666" s="122"/>
      <c r="B666" s="122"/>
      <c r="C666" s="122"/>
      <c r="D666" s="122"/>
      <c r="E666" s="122"/>
      <c r="F666" s="123"/>
      <c r="G666" s="123"/>
      <c r="H666" s="123"/>
      <c r="I666" s="123"/>
      <c r="J666" s="123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</row>
    <row r="667">
      <c r="A667" s="122"/>
      <c r="B667" s="122"/>
      <c r="C667" s="122"/>
      <c r="D667" s="122"/>
      <c r="E667" s="122"/>
      <c r="F667" s="123"/>
      <c r="G667" s="123"/>
      <c r="H667" s="123"/>
      <c r="I667" s="123"/>
      <c r="J667" s="123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</row>
    <row r="668">
      <c r="A668" s="122"/>
      <c r="B668" s="122"/>
      <c r="C668" s="122"/>
      <c r="D668" s="122"/>
      <c r="E668" s="122"/>
      <c r="F668" s="123"/>
      <c r="G668" s="123"/>
      <c r="H668" s="123"/>
      <c r="I668" s="123"/>
      <c r="J668" s="123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</row>
    <row r="669">
      <c r="A669" s="122"/>
      <c r="B669" s="122"/>
      <c r="C669" s="122"/>
      <c r="D669" s="122"/>
      <c r="E669" s="122"/>
      <c r="F669" s="123"/>
      <c r="G669" s="123"/>
      <c r="H669" s="123"/>
      <c r="I669" s="123"/>
      <c r="J669" s="123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</row>
    <row r="670">
      <c r="A670" s="122"/>
      <c r="B670" s="122"/>
      <c r="C670" s="122"/>
      <c r="D670" s="122"/>
      <c r="E670" s="122"/>
      <c r="F670" s="123"/>
      <c r="G670" s="123"/>
      <c r="H670" s="123"/>
      <c r="I670" s="123"/>
      <c r="J670" s="123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</row>
    <row r="671">
      <c r="A671" s="122"/>
      <c r="B671" s="122"/>
      <c r="C671" s="122"/>
      <c r="D671" s="122"/>
      <c r="E671" s="122"/>
      <c r="F671" s="123"/>
      <c r="G671" s="123"/>
      <c r="H671" s="123"/>
      <c r="I671" s="123"/>
      <c r="J671" s="123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</row>
    <row r="672">
      <c r="A672" s="122"/>
      <c r="B672" s="122"/>
      <c r="C672" s="122"/>
      <c r="D672" s="122"/>
      <c r="E672" s="122"/>
      <c r="F672" s="123"/>
      <c r="G672" s="123"/>
      <c r="H672" s="123"/>
      <c r="I672" s="123"/>
      <c r="J672" s="123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</row>
    <row r="673">
      <c r="A673" s="122"/>
      <c r="B673" s="122"/>
      <c r="C673" s="122"/>
      <c r="D673" s="122"/>
      <c r="E673" s="122"/>
      <c r="F673" s="123"/>
      <c r="G673" s="123"/>
      <c r="H673" s="123"/>
      <c r="I673" s="123"/>
      <c r="J673" s="123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</row>
    <row r="674">
      <c r="A674" s="122"/>
      <c r="B674" s="122"/>
      <c r="C674" s="122"/>
      <c r="D674" s="122"/>
      <c r="E674" s="122"/>
      <c r="F674" s="123"/>
      <c r="G674" s="123"/>
      <c r="H674" s="123"/>
      <c r="I674" s="123"/>
      <c r="J674" s="123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</row>
    <row r="675">
      <c r="A675" s="122"/>
      <c r="B675" s="122"/>
      <c r="C675" s="122"/>
      <c r="D675" s="122"/>
      <c r="E675" s="122"/>
      <c r="F675" s="123"/>
      <c r="G675" s="123"/>
      <c r="H675" s="123"/>
      <c r="I675" s="123"/>
      <c r="J675" s="123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</row>
    <row r="676">
      <c r="A676" s="122"/>
      <c r="B676" s="122"/>
      <c r="C676" s="122"/>
      <c r="D676" s="122"/>
      <c r="E676" s="122"/>
      <c r="F676" s="123"/>
      <c r="G676" s="123"/>
      <c r="H676" s="123"/>
      <c r="I676" s="123"/>
      <c r="J676" s="123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</row>
    <row r="677">
      <c r="A677" s="122"/>
      <c r="B677" s="122"/>
      <c r="C677" s="122"/>
      <c r="D677" s="122"/>
      <c r="E677" s="122"/>
      <c r="F677" s="123"/>
      <c r="G677" s="123"/>
      <c r="H677" s="123"/>
      <c r="I677" s="123"/>
      <c r="J677" s="123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</row>
    <row r="678">
      <c r="A678" s="122"/>
      <c r="B678" s="122"/>
      <c r="C678" s="122"/>
      <c r="D678" s="122"/>
      <c r="E678" s="122"/>
      <c r="F678" s="123"/>
      <c r="G678" s="123"/>
      <c r="H678" s="123"/>
      <c r="I678" s="123"/>
      <c r="J678" s="123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</row>
    <row r="679">
      <c r="A679" s="122"/>
      <c r="B679" s="122"/>
      <c r="C679" s="122"/>
      <c r="D679" s="122"/>
      <c r="E679" s="122"/>
      <c r="F679" s="123"/>
      <c r="G679" s="123"/>
      <c r="H679" s="123"/>
      <c r="I679" s="123"/>
      <c r="J679" s="123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</row>
    <row r="680">
      <c r="A680" s="122"/>
      <c r="B680" s="122"/>
      <c r="C680" s="122"/>
      <c r="D680" s="122"/>
      <c r="E680" s="122"/>
      <c r="F680" s="123"/>
      <c r="G680" s="123"/>
      <c r="H680" s="123"/>
      <c r="I680" s="123"/>
      <c r="J680" s="123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</row>
    <row r="681">
      <c r="A681" s="122"/>
      <c r="B681" s="122"/>
      <c r="C681" s="122"/>
      <c r="D681" s="122"/>
      <c r="E681" s="122"/>
      <c r="F681" s="123"/>
      <c r="G681" s="123"/>
      <c r="H681" s="123"/>
      <c r="I681" s="123"/>
      <c r="J681" s="123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</row>
    <row r="682">
      <c r="A682" s="122"/>
      <c r="B682" s="122"/>
      <c r="C682" s="122"/>
      <c r="D682" s="122"/>
      <c r="E682" s="122"/>
      <c r="F682" s="123"/>
      <c r="G682" s="123"/>
      <c r="H682" s="123"/>
      <c r="I682" s="123"/>
      <c r="J682" s="123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</row>
    <row r="683">
      <c r="A683" s="122"/>
      <c r="B683" s="122"/>
      <c r="C683" s="122"/>
      <c r="D683" s="122"/>
      <c r="E683" s="122"/>
      <c r="F683" s="123"/>
      <c r="G683" s="123"/>
      <c r="H683" s="123"/>
      <c r="I683" s="123"/>
      <c r="J683" s="123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</row>
    <row r="684">
      <c r="A684" s="122"/>
      <c r="B684" s="122"/>
      <c r="C684" s="122"/>
      <c r="D684" s="122"/>
      <c r="E684" s="122"/>
      <c r="F684" s="123"/>
      <c r="G684" s="123"/>
      <c r="H684" s="123"/>
      <c r="I684" s="123"/>
      <c r="J684" s="123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</row>
    <row r="685">
      <c r="A685" s="122"/>
      <c r="B685" s="122"/>
      <c r="C685" s="122"/>
      <c r="D685" s="122"/>
      <c r="E685" s="122"/>
      <c r="F685" s="123"/>
      <c r="G685" s="123"/>
      <c r="H685" s="123"/>
      <c r="I685" s="123"/>
      <c r="J685" s="123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</row>
    <row r="686">
      <c r="A686" s="122"/>
      <c r="B686" s="122"/>
      <c r="C686" s="122"/>
      <c r="D686" s="122"/>
      <c r="E686" s="122"/>
      <c r="F686" s="123"/>
      <c r="G686" s="123"/>
      <c r="H686" s="123"/>
      <c r="I686" s="123"/>
      <c r="J686" s="123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</row>
    <row r="687">
      <c r="A687" s="122"/>
      <c r="B687" s="122"/>
      <c r="C687" s="122"/>
      <c r="D687" s="122"/>
      <c r="E687" s="122"/>
      <c r="F687" s="123"/>
      <c r="G687" s="123"/>
      <c r="H687" s="123"/>
      <c r="I687" s="123"/>
      <c r="J687" s="123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</row>
    <row r="688">
      <c r="A688" s="122"/>
      <c r="B688" s="122"/>
      <c r="C688" s="122"/>
      <c r="D688" s="122"/>
      <c r="E688" s="122"/>
      <c r="F688" s="123"/>
      <c r="G688" s="123"/>
      <c r="H688" s="123"/>
      <c r="I688" s="123"/>
      <c r="J688" s="123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</row>
    <row r="689">
      <c r="A689" s="122"/>
      <c r="B689" s="122"/>
      <c r="C689" s="122"/>
      <c r="D689" s="122"/>
      <c r="E689" s="122"/>
      <c r="F689" s="123"/>
      <c r="G689" s="123"/>
      <c r="H689" s="123"/>
      <c r="I689" s="123"/>
      <c r="J689" s="123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</row>
    <row r="690">
      <c r="A690" s="122"/>
      <c r="B690" s="122"/>
      <c r="C690" s="122"/>
      <c r="D690" s="122"/>
      <c r="E690" s="122"/>
      <c r="F690" s="123"/>
      <c r="G690" s="123"/>
      <c r="H690" s="123"/>
      <c r="I690" s="123"/>
      <c r="J690" s="123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</row>
    <row r="691">
      <c r="A691" s="122"/>
      <c r="B691" s="122"/>
      <c r="C691" s="122"/>
      <c r="D691" s="122"/>
      <c r="E691" s="122"/>
      <c r="F691" s="123"/>
      <c r="G691" s="123"/>
      <c r="H691" s="123"/>
      <c r="I691" s="123"/>
      <c r="J691" s="123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</row>
    <row r="692">
      <c r="A692" s="122"/>
      <c r="B692" s="122"/>
      <c r="C692" s="122"/>
      <c r="D692" s="122"/>
      <c r="E692" s="122"/>
      <c r="F692" s="123"/>
      <c r="G692" s="123"/>
      <c r="H692" s="123"/>
      <c r="I692" s="123"/>
      <c r="J692" s="123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</row>
    <row r="693">
      <c r="A693" s="122"/>
      <c r="B693" s="122"/>
      <c r="C693" s="122"/>
      <c r="D693" s="122"/>
      <c r="E693" s="122"/>
      <c r="F693" s="123"/>
      <c r="G693" s="123"/>
      <c r="H693" s="123"/>
      <c r="I693" s="123"/>
      <c r="J693" s="123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</row>
    <row r="694">
      <c r="A694" s="122"/>
      <c r="B694" s="122"/>
      <c r="C694" s="122"/>
      <c r="D694" s="122"/>
      <c r="E694" s="122"/>
      <c r="F694" s="123"/>
      <c r="G694" s="123"/>
      <c r="H694" s="123"/>
      <c r="I694" s="123"/>
      <c r="J694" s="123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</row>
    <row r="695">
      <c r="A695" s="122"/>
      <c r="B695" s="122"/>
      <c r="C695" s="122"/>
      <c r="D695" s="122"/>
      <c r="E695" s="122"/>
      <c r="F695" s="123"/>
      <c r="G695" s="123"/>
      <c r="H695" s="123"/>
      <c r="I695" s="123"/>
      <c r="J695" s="123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</row>
    <row r="696">
      <c r="A696" s="122"/>
      <c r="B696" s="122"/>
      <c r="C696" s="122"/>
      <c r="D696" s="122"/>
      <c r="E696" s="122"/>
      <c r="F696" s="123"/>
      <c r="G696" s="123"/>
      <c r="H696" s="123"/>
      <c r="I696" s="123"/>
      <c r="J696" s="123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</row>
    <row r="697">
      <c r="A697" s="122"/>
      <c r="B697" s="122"/>
      <c r="C697" s="122"/>
      <c r="D697" s="122"/>
      <c r="E697" s="122"/>
      <c r="F697" s="123"/>
      <c r="G697" s="123"/>
      <c r="H697" s="123"/>
      <c r="I697" s="123"/>
      <c r="J697" s="123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</row>
    <row r="698">
      <c r="A698" s="122"/>
      <c r="B698" s="122"/>
      <c r="C698" s="122"/>
      <c r="D698" s="122"/>
      <c r="E698" s="122"/>
      <c r="F698" s="123"/>
      <c r="G698" s="123"/>
      <c r="H698" s="123"/>
      <c r="I698" s="123"/>
      <c r="J698" s="123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</row>
    <row r="699">
      <c r="A699" s="122"/>
      <c r="B699" s="122"/>
      <c r="C699" s="122"/>
      <c r="D699" s="122"/>
      <c r="E699" s="122"/>
      <c r="F699" s="123"/>
      <c r="G699" s="123"/>
      <c r="H699" s="123"/>
      <c r="I699" s="123"/>
      <c r="J699" s="123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</row>
    <row r="700">
      <c r="A700" s="122"/>
      <c r="B700" s="122"/>
      <c r="C700" s="122"/>
      <c r="D700" s="122"/>
      <c r="E700" s="122"/>
      <c r="F700" s="123"/>
      <c r="G700" s="123"/>
      <c r="H700" s="123"/>
      <c r="I700" s="123"/>
      <c r="J700" s="123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</row>
    <row r="701">
      <c r="A701" s="122"/>
      <c r="B701" s="122"/>
      <c r="C701" s="122"/>
      <c r="D701" s="122"/>
      <c r="E701" s="122"/>
      <c r="F701" s="123"/>
      <c r="G701" s="123"/>
      <c r="H701" s="123"/>
      <c r="I701" s="123"/>
      <c r="J701" s="123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</row>
    <row r="702">
      <c r="A702" s="122"/>
      <c r="B702" s="122"/>
      <c r="C702" s="122"/>
      <c r="D702" s="122"/>
      <c r="E702" s="122"/>
      <c r="F702" s="123"/>
      <c r="G702" s="123"/>
      <c r="H702" s="123"/>
      <c r="I702" s="123"/>
      <c r="J702" s="123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</row>
    <row r="703">
      <c r="A703" s="122"/>
      <c r="B703" s="122"/>
      <c r="C703" s="122"/>
      <c r="D703" s="122"/>
      <c r="E703" s="122"/>
      <c r="F703" s="123"/>
      <c r="G703" s="123"/>
      <c r="H703" s="123"/>
      <c r="I703" s="123"/>
      <c r="J703" s="123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</row>
    <row r="704">
      <c r="A704" s="122"/>
      <c r="B704" s="122"/>
      <c r="C704" s="122"/>
      <c r="D704" s="122"/>
      <c r="E704" s="122"/>
      <c r="F704" s="123"/>
      <c r="G704" s="123"/>
      <c r="H704" s="123"/>
      <c r="I704" s="123"/>
      <c r="J704" s="123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</row>
    <row r="705">
      <c r="A705" s="122"/>
      <c r="B705" s="122"/>
      <c r="C705" s="122"/>
      <c r="D705" s="122"/>
      <c r="E705" s="122"/>
      <c r="F705" s="123"/>
      <c r="G705" s="123"/>
      <c r="H705" s="123"/>
      <c r="I705" s="123"/>
      <c r="J705" s="123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</row>
    <row r="706">
      <c r="A706" s="122"/>
      <c r="B706" s="122"/>
      <c r="C706" s="122"/>
      <c r="D706" s="122"/>
      <c r="E706" s="122"/>
      <c r="F706" s="123"/>
      <c r="G706" s="123"/>
      <c r="H706" s="123"/>
      <c r="I706" s="123"/>
      <c r="J706" s="123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</row>
    <row r="707">
      <c r="A707" s="122"/>
      <c r="B707" s="122"/>
      <c r="C707" s="122"/>
      <c r="D707" s="122"/>
      <c r="E707" s="122"/>
      <c r="F707" s="123"/>
      <c r="G707" s="123"/>
      <c r="H707" s="123"/>
      <c r="I707" s="123"/>
      <c r="J707" s="123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</row>
    <row r="708">
      <c r="A708" s="122"/>
      <c r="B708" s="122"/>
      <c r="C708" s="122"/>
      <c r="D708" s="122"/>
      <c r="E708" s="122"/>
      <c r="F708" s="123"/>
      <c r="G708" s="123"/>
      <c r="H708" s="123"/>
      <c r="I708" s="123"/>
      <c r="J708" s="123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</row>
    <row r="709">
      <c r="A709" s="122"/>
      <c r="B709" s="122"/>
      <c r="C709" s="122"/>
      <c r="D709" s="122"/>
      <c r="E709" s="122"/>
      <c r="F709" s="123"/>
      <c r="G709" s="123"/>
      <c r="H709" s="123"/>
      <c r="I709" s="123"/>
      <c r="J709" s="123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</row>
    <row r="710">
      <c r="A710" s="122"/>
      <c r="B710" s="122"/>
      <c r="C710" s="122"/>
      <c r="D710" s="122"/>
      <c r="E710" s="122"/>
      <c r="F710" s="123"/>
      <c r="G710" s="123"/>
      <c r="H710" s="123"/>
      <c r="I710" s="123"/>
      <c r="J710" s="123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</row>
    <row r="711">
      <c r="A711" s="122"/>
      <c r="B711" s="122"/>
      <c r="C711" s="122"/>
      <c r="D711" s="122"/>
      <c r="E711" s="122"/>
      <c r="F711" s="123"/>
      <c r="G711" s="123"/>
      <c r="H711" s="123"/>
      <c r="I711" s="123"/>
      <c r="J711" s="123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</row>
    <row r="712">
      <c r="A712" s="122"/>
      <c r="B712" s="122"/>
      <c r="C712" s="122"/>
      <c r="D712" s="122"/>
      <c r="E712" s="122"/>
      <c r="F712" s="123"/>
      <c r="G712" s="123"/>
      <c r="H712" s="123"/>
      <c r="I712" s="123"/>
      <c r="J712" s="123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</row>
    <row r="713">
      <c r="A713" s="122"/>
      <c r="B713" s="122"/>
      <c r="C713" s="122"/>
      <c r="D713" s="122"/>
      <c r="E713" s="122"/>
      <c r="F713" s="123"/>
      <c r="G713" s="123"/>
      <c r="H713" s="123"/>
      <c r="I713" s="123"/>
      <c r="J713" s="123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</row>
    <row r="714">
      <c r="A714" s="122"/>
      <c r="B714" s="122"/>
      <c r="C714" s="122"/>
      <c r="D714" s="122"/>
      <c r="E714" s="122"/>
      <c r="F714" s="123"/>
      <c r="G714" s="123"/>
      <c r="H714" s="123"/>
      <c r="I714" s="123"/>
      <c r="J714" s="123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</row>
    <row r="715">
      <c r="A715" s="122"/>
      <c r="B715" s="122"/>
      <c r="C715" s="122"/>
      <c r="D715" s="122"/>
      <c r="E715" s="122"/>
      <c r="F715" s="123"/>
      <c r="G715" s="123"/>
      <c r="H715" s="123"/>
      <c r="I715" s="123"/>
      <c r="J715" s="123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</row>
    <row r="716">
      <c r="A716" s="122"/>
      <c r="B716" s="122"/>
      <c r="C716" s="122"/>
      <c r="D716" s="122"/>
      <c r="E716" s="122"/>
      <c r="F716" s="123"/>
      <c r="G716" s="123"/>
      <c r="H716" s="123"/>
      <c r="I716" s="123"/>
      <c r="J716" s="123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</row>
    <row r="717">
      <c r="A717" s="122"/>
      <c r="B717" s="122"/>
      <c r="C717" s="122"/>
      <c r="D717" s="122"/>
      <c r="E717" s="122"/>
      <c r="F717" s="123"/>
      <c r="G717" s="123"/>
      <c r="H717" s="123"/>
      <c r="I717" s="123"/>
      <c r="J717" s="123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</row>
    <row r="718">
      <c r="A718" s="122"/>
      <c r="B718" s="122"/>
      <c r="C718" s="122"/>
      <c r="D718" s="122"/>
      <c r="E718" s="122"/>
      <c r="F718" s="123"/>
      <c r="G718" s="123"/>
      <c r="H718" s="123"/>
      <c r="I718" s="123"/>
      <c r="J718" s="123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</row>
    <row r="719">
      <c r="A719" s="122"/>
      <c r="B719" s="122"/>
      <c r="C719" s="122"/>
      <c r="D719" s="122"/>
      <c r="E719" s="122"/>
      <c r="F719" s="123"/>
      <c r="G719" s="123"/>
      <c r="H719" s="123"/>
      <c r="I719" s="123"/>
      <c r="J719" s="123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</row>
    <row r="720">
      <c r="A720" s="122"/>
      <c r="B720" s="122"/>
      <c r="C720" s="122"/>
      <c r="D720" s="122"/>
      <c r="E720" s="122"/>
      <c r="F720" s="123"/>
      <c r="G720" s="123"/>
      <c r="H720" s="123"/>
      <c r="I720" s="123"/>
      <c r="J720" s="123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</row>
    <row r="721">
      <c r="A721" s="122"/>
      <c r="B721" s="122"/>
      <c r="C721" s="122"/>
      <c r="D721" s="122"/>
      <c r="E721" s="122"/>
      <c r="F721" s="123"/>
      <c r="G721" s="123"/>
      <c r="H721" s="123"/>
      <c r="I721" s="123"/>
      <c r="J721" s="123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</row>
    <row r="722">
      <c r="A722" s="122"/>
      <c r="B722" s="122"/>
      <c r="C722" s="122"/>
      <c r="D722" s="122"/>
      <c r="E722" s="122"/>
      <c r="F722" s="123"/>
      <c r="G722" s="123"/>
      <c r="H722" s="123"/>
      <c r="I722" s="123"/>
      <c r="J722" s="123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</row>
    <row r="723">
      <c r="A723" s="122"/>
      <c r="B723" s="122"/>
      <c r="C723" s="122"/>
      <c r="D723" s="122"/>
      <c r="E723" s="122"/>
      <c r="F723" s="123"/>
      <c r="G723" s="123"/>
      <c r="H723" s="123"/>
      <c r="I723" s="123"/>
      <c r="J723" s="123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</row>
    <row r="724">
      <c r="A724" s="122"/>
      <c r="B724" s="122"/>
      <c r="C724" s="122"/>
      <c r="D724" s="122"/>
      <c r="E724" s="122"/>
      <c r="F724" s="123"/>
      <c r="G724" s="123"/>
      <c r="H724" s="123"/>
      <c r="I724" s="123"/>
      <c r="J724" s="123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</row>
    <row r="725">
      <c r="A725" s="122"/>
      <c r="B725" s="122"/>
      <c r="C725" s="122"/>
      <c r="D725" s="122"/>
      <c r="E725" s="122"/>
      <c r="F725" s="123"/>
      <c r="G725" s="123"/>
      <c r="H725" s="123"/>
      <c r="I725" s="123"/>
      <c r="J725" s="123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</row>
    <row r="726">
      <c r="A726" s="122"/>
      <c r="B726" s="122"/>
      <c r="C726" s="122"/>
      <c r="D726" s="122"/>
      <c r="E726" s="122"/>
      <c r="F726" s="123"/>
      <c r="G726" s="123"/>
      <c r="H726" s="123"/>
      <c r="I726" s="123"/>
      <c r="J726" s="123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</row>
    <row r="727">
      <c r="A727" s="122"/>
      <c r="B727" s="122"/>
      <c r="C727" s="122"/>
      <c r="D727" s="122"/>
      <c r="E727" s="122"/>
      <c r="F727" s="123"/>
      <c r="G727" s="123"/>
      <c r="H727" s="123"/>
      <c r="I727" s="123"/>
      <c r="J727" s="123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</row>
    <row r="728">
      <c r="A728" s="122"/>
      <c r="B728" s="122"/>
      <c r="C728" s="122"/>
      <c r="D728" s="122"/>
      <c r="E728" s="122"/>
      <c r="F728" s="123"/>
      <c r="G728" s="123"/>
      <c r="H728" s="123"/>
      <c r="I728" s="123"/>
      <c r="J728" s="123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</row>
    <row r="729">
      <c r="A729" s="122"/>
      <c r="B729" s="122"/>
      <c r="C729" s="122"/>
      <c r="D729" s="122"/>
      <c r="E729" s="122"/>
      <c r="F729" s="123"/>
      <c r="G729" s="123"/>
      <c r="H729" s="123"/>
      <c r="I729" s="123"/>
      <c r="J729" s="123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</row>
    <row r="730">
      <c r="A730" s="122"/>
      <c r="B730" s="122"/>
      <c r="C730" s="122"/>
      <c r="D730" s="122"/>
      <c r="E730" s="122"/>
      <c r="F730" s="123"/>
      <c r="G730" s="123"/>
      <c r="H730" s="123"/>
      <c r="I730" s="123"/>
      <c r="J730" s="123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</row>
    <row r="731">
      <c r="A731" s="122"/>
      <c r="B731" s="122"/>
      <c r="C731" s="122"/>
      <c r="D731" s="122"/>
      <c r="E731" s="122"/>
      <c r="F731" s="123"/>
      <c r="G731" s="123"/>
      <c r="H731" s="123"/>
      <c r="I731" s="123"/>
      <c r="J731" s="123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</row>
    <row r="732">
      <c r="A732" s="122"/>
      <c r="B732" s="122"/>
      <c r="C732" s="122"/>
      <c r="D732" s="122"/>
      <c r="E732" s="122"/>
      <c r="F732" s="123"/>
      <c r="G732" s="123"/>
      <c r="H732" s="123"/>
      <c r="I732" s="123"/>
      <c r="J732" s="123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</row>
    <row r="733">
      <c r="A733" s="122"/>
      <c r="B733" s="122"/>
      <c r="C733" s="122"/>
      <c r="D733" s="122"/>
      <c r="E733" s="122"/>
      <c r="F733" s="123"/>
      <c r="G733" s="123"/>
      <c r="H733" s="123"/>
      <c r="I733" s="123"/>
      <c r="J733" s="123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</row>
    <row r="734">
      <c r="A734" s="122"/>
      <c r="B734" s="122"/>
      <c r="C734" s="122"/>
      <c r="D734" s="122"/>
      <c r="E734" s="122"/>
      <c r="F734" s="123"/>
      <c r="G734" s="123"/>
      <c r="H734" s="123"/>
      <c r="I734" s="123"/>
      <c r="J734" s="123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</row>
    <row r="735">
      <c r="A735" s="122"/>
      <c r="B735" s="122"/>
      <c r="C735" s="122"/>
      <c r="D735" s="122"/>
      <c r="E735" s="122"/>
      <c r="F735" s="123"/>
      <c r="G735" s="123"/>
      <c r="H735" s="123"/>
      <c r="I735" s="123"/>
      <c r="J735" s="123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</row>
    <row r="736">
      <c r="A736" s="122"/>
      <c r="B736" s="122"/>
      <c r="C736" s="122"/>
      <c r="D736" s="122"/>
      <c r="E736" s="122"/>
      <c r="F736" s="123"/>
      <c r="G736" s="123"/>
      <c r="H736" s="123"/>
      <c r="I736" s="123"/>
      <c r="J736" s="123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</row>
    <row r="737">
      <c r="A737" s="122"/>
      <c r="B737" s="122"/>
      <c r="C737" s="122"/>
      <c r="D737" s="122"/>
      <c r="E737" s="122"/>
      <c r="F737" s="123"/>
      <c r="G737" s="123"/>
      <c r="H737" s="123"/>
      <c r="I737" s="123"/>
      <c r="J737" s="123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</row>
    <row r="738">
      <c r="A738" s="122"/>
      <c r="B738" s="122"/>
      <c r="C738" s="122"/>
      <c r="D738" s="122"/>
      <c r="E738" s="122"/>
      <c r="F738" s="123"/>
      <c r="G738" s="123"/>
      <c r="H738" s="123"/>
      <c r="I738" s="123"/>
      <c r="J738" s="123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</row>
    <row r="739">
      <c r="A739" s="122"/>
      <c r="B739" s="122"/>
      <c r="C739" s="122"/>
      <c r="D739" s="122"/>
      <c r="E739" s="122"/>
      <c r="F739" s="123"/>
      <c r="G739" s="123"/>
      <c r="H739" s="123"/>
      <c r="I739" s="123"/>
      <c r="J739" s="123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</row>
    <row r="740">
      <c r="A740" s="122"/>
      <c r="B740" s="122"/>
      <c r="C740" s="122"/>
      <c r="D740" s="122"/>
      <c r="E740" s="122"/>
      <c r="F740" s="123"/>
      <c r="G740" s="123"/>
      <c r="H740" s="123"/>
      <c r="I740" s="123"/>
      <c r="J740" s="123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</row>
    <row r="741">
      <c r="A741" s="122"/>
      <c r="B741" s="122"/>
      <c r="C741" s="122"/>
      <c r="D741" s="122"/>
      <c r="E741" s="122"/>
      <c r="F741" s="123"/>
      <c r="G741" s="123"/>
      <c r="H741" s="123"/>
      <c r="I741" s="123"/>
      <c r="J741" s="123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</row>
    <row r="742">
      <c r="A742" s="122"/>
      <c r="B742" s="122"/>
      <c r="C742" s="122"/>
      <c r="D742" s="122"/>
      <c r="E742" s="122"/>
      <c r="F742" s="123"/>
      <c r="G742" s="123"/>
      <c r="H742" s="123"/>
      <c r="I742" s="123"/>
      <c r="J742" s="123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</row>
    <row r="743">
      <c r="A743" s="122"/>
      <c r="B743" s="122"/>
      <c r="C743" s="122"/>
      <c r="D743" s="122"/>
      <c r="E743" s="122"/>
      <c r="F743" s="123"/>
      <c r="G743" s="123"/>
      <c r="H743" s="123"/>
      <c r="I743" s="123"/>
      <c r="J743" s="123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</row>
    <row r="744">
      <c r="A744" s="122"/>
      <c r="B744" s="122"/>
      <c r="C744" s="122"/>
      <c r="D744" s="122"/>
      <c r="E744" s="122"/>
      <c r="F744" s="123"/>
      <c r="G744" s="123"/>
      <c r="H744" s="123"/>
      <c r="I744" s="123"/>
      <c r="J744" s="123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</row>
    <row r="745">
      <c r="A745" s="122"/>
      <c r="B745" s="122"/>
      <c r="C745" s="122"/>
      <c r="D745" s="122"/>
      <c r="E745" s="122"/>
      <c r="F745" s="123"/>
      <c r="G745" s="123"/>
      <c r="H745" s="123"/>
      <c r="I745" s="123"/>
      <c r="J745" s="123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</row>
    <row r="746">
      <c r="A746" s="122"/>
      <c r="B746" s="122"/>
      <c r="C746" s="122"/>
      <c r="D746" s="122"/>
      <c r="E746" s="122"/>
      <c r="F746" s="123"/>
      <c r="G746" s="123"/>
      <c r="H746" s="123"/>
      <c r="I746" s="123"/>
      <c r="J746" s="123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</row>
    <row r="747">
      <c r="A747" s="122"/>
      <c r="B747" s="122"/>
      <c r="C747" s="122"/>
      <c r="D747" s="122"/>
      <c r="E747" s="122"/>
      <c r="F747" s="123"/>
      <c r="G747" s="123"/>
      <c r="H747" s="123"/>
      <c r="I747" s="123"/>
      <c r="J747" s="123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</row>
    <row r="748">
      <c r="A748" s="122"/>
      <c r="B748" s="122"/>
      <c r="C748" s="122"/>
      <c r="D748" s="122"/>
      <c r="E748" s="122"/>
      <c r="F748" s="123"/>
      <c r="G748" s="123"/>
      <c r="H748" s="123"/>
      <c r="I748" s="123"/>
      <c r="J748" s="123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</row>
    <row r="749">
      <c r="A749" s="122"/>
      <c r="B749" s="122"/>
      <c r="C749" s="122"/>
      <c r="D749" s="122"/>
      <c r="E749" s="122"/>
      <c r="F749" s="123"/>
      <c r="G749" s="123"/>
      <c r="H749" s="123"/>
      <c r="I749" s="123"/>
      <c r="J749" s="123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</row>
    <row r="750">
      <c r="A750" s="122"/>
      <c r="B750" s="122"/>
      <c r="C750" s="122"/>
      <c r="D750" s="122"/>
      <c r="E750" s="122"/>
      <c r="F750" s="123"/>
      <c r="G750" s="123"/>
      <c r="H750" s="123"/>
      <c r="I750" s="123"/>
      <c r="J750" s="123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</row>
    <row r="751">
      <c r="A751" s="122"/>
      <c r="B751" s="122"/>
      <c r="C751" s="122"/>
      <c r="D751" s="122"/>
      <c r="E751" s="122"/>
      <c r="F751" s="123"/>
      <c r="G751" s="123"/>
      <c r="H751" s="123"/>
      <c r="I751" s="123"/>
      <c r="J751" s="123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</row>
    <row r="752">
      <c r="A752" s="122"/>
      <c r="B752" s="122"/>
      <c r="C752" s="122"/>
      <c r="D752" s="122"/>
      <c r="E752" s="122"/>
      <c r="F752" s="123"/>
      <c r="G752" s="123"/>
      <c r="H752" s="123"/>
      <c r="I752" s="123"/>
      <c r="J752" s="123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</row>
    <row r="753">
      <c r="A753" s="122"/>
      <c r="B753" s="122"/>
      <c r="C753" s="122"/>
      <c r="D753" s="122"/>
      <c r="E753" s="122"/>
      <c r="F753" s="123"/>
      <c r="G753" s="123"/>
      <c r="H753" s="123"/>
      <c r="I753" s="123"/>
      <c r="J753" s="123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</row>
    <row r="754">
      <c r="A754" s="122"/>
      <c r="B754" s="122"/>
      <c r="C754" s="122"/>
      <c r="D754" s="122"/>
      <c r="E754" s="122"/>
      <c r="F754" s="123"/>
      <c r="G754" s="123"/>
      <c r="H754" s="123"/>
      <c r="I754" s="123"/>
      <c r="J754" s="123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</row>
    <row r="755">
      <c r="A755" s="122"/>
      <c r="B755" s="122"/>
      <c r="C755" s="122"/>
      <c r="D755" s="122"/>
      <c r="E755" s="122"/>
      <c r="F755" s="123"/>
      <c r="G755" s="123"/>
      <c r="H755" s="123"/>
      <c r="I755" s="123"/>
      <c r="J755" s="123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</row>
    <row r="756">
      <c r="A756" s="122"/>
      <c r="B756" s="122"/>
      <c r="C756" s="122"/>
      <c r="D756" s="122"/>
      <c r="E756" s="122"/>
      <c r="F756" s="123"/>
      <c r="G756" s="123"/>
      <c r="H756" s="123"/>
      <c r="I756" s="123"/>
      <c r="J756" s="123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</row>
    <row r="757">
      <c r="A757" s="122"/>
      <c r="B757" s="122"/>
      <c r="C757" s="122"/>
      <c r="D757" s="122"/>
      <c r="E757" s="122"/>
      <c r="F757" s="123"/>
      <c r="G757" s="123"/>
      <c r="H757" s="123"/>
      <c r="I757" s="123"/>
      <c r="J757" s="123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</row>
    <row r="758">
      <c r="A758" s="122"/>
      <c r="B758" s="122"/>
      <c r="C758" s="122"/>
      <c r="D758" s="122"/>
      <c r="E758" s="122"/>
      <c r="F758" s="123"/>
      <c r="G758" s="123"/>
      <c r="H758" s="123"/>
      <c r="I758" s="123"/>
      <c r="J758" s="123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</row>
    <row r="759">
      <c r="A759" s="122"/>
      <c r="B759" s="122"/>
      <c r="C759" s="122"/>
      <c r="D759" s="122"/>
      <c r="E759" s="122"/>
      <c r="F759" s="123"/>
      <c r="G759" s="123"/>
      <c r="H759" s="123"/>
      <c r="I759" s="123"/>
      <c r="J759" s="123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</row>
    <row r="760">
      <c r="A760" s="122"/>
      <c r="B760" s="122"/>
      <c r="C760" s="122"/>
      <c r="D760" s="122"/>
      <c r="E760" s="122"/>
      <c r="F760" s="123"/>
      <c r="G760" s="123"/>
      <c r="H760" s="123"/>
      <c r="I760" s="123"/>
      <c r="J760" s="123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</row>
    <row r="761">
      <c r="A761" s="122"/>
      <c r="B761" s="122"/>
      <c r="C761" s="122"/>
      <c r="D761" s="122"/>
      <c r="E761" s="122"/>
      <c r="F761" s="123"/>
      <c r="G761" s="123"/>
      <c r="H761" s="123"/>
      <c r="I761" s="123"/>
      <c r="J761" s="123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</row>
    <row r="762">
      <c r="A762" s="122"/>
      <c r="B762" s="122"/>
      <c r="C762" s="122"/>
      <c r="D762" s="122"/>
      <c r="E762" s="122"/>
      <c r="F762" s="123"/>
      <c r="G762" s="123"/>
      <c r="H762" s="123"/>
      <c r="I762" s="123"/>
      <c r="J762" s="123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</row>
    <row r="763">
      <c r="A763" s="122"/>
      <c r="B763" s="122"/>
      <c r="C763" s="122"/>
      <c r="D763" s="122"/>
      <c r="E763" s="122"/>
      <c r="F763" s="123"/>
      <c r="G763" s="123"/>
      <c r="H763" s="123"/>
      <c r="I763" s="123"/>
      <c r="J763" s="123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</row>
    <row r="764">
      <c r="A764" s="122"/>
      <c r="B764" s="122"/>
      <c r="C764" s="122"/>
      <c r="D764" s="122"/>
      <c r="E764" s="122"/>
      <c r="F764" s="123"/>
      <c r="G764" s="123"/>
      <c r="H764" s="123"/>
      <c r="I764" s="123"/>
      <c r="J764" s="123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</row>
    <row r="765">
      <c r="A765" s="122"/>
      <c r="B765" s="122"/>
      <c r="C765" s="122"/>
      <c r="D765" s="122"/>
      <c r="E765" s="122"/>
      <c r="F765" s="123"/>
      <c r="G765" s="123"/>
      <c r="H765" s="123"/>
      <c r="I765" s="123"/>
      <c r="J765" s="123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</row>
    <row r="766">
      <c r="A766" s="122"/>
      <c r="B766" s="122"/>
      <c r="C766" s="122"/>
      <c r="D766" s="122"/>
      <c r="E766" s="122"/>
      <c r="F766" s="123"/>
      <c r="G766" s="123"/>
      <c r="H766" s="123"/>
      <c r="I766" s="123"/>
      <c r="J766" s="123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</row>
    <row r="767">
      <c r="A767" s="122"/>
      <c r="B767" s="122"/>
      <c r="C767" s="122"/>
      <c r="D767" s="122"/>
      <c r="E767" s="122"/>
      <c r="F767" s="123"/>
      <c r="G767" s="123"/>
      <c r="H767" s="123"/>
      <c r="I767" s="123"/>
      <c r="J767" s="123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</row>
    <row r="768">
      <c r="A768" s="122"/>
      <c r="B768" s="122"/>
      <c r="C768" s="122"/>
      <c r="D768" s="122"/>
      <c r="E768" s="122"/>
      <c r="F768" s="123"/>
      <c r="G768" s="123"/>
      <c r="H768" s="123"/>
      <c r="I768" s="123"/>
      <c r="J768" s="123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</row>
    <row r="769">
      <c r="A769" s="122"/>
      <c r="B769" s="122"/>
      <c r="C769" s="122"/>
      <c r="D769" s="122"/>
      <c r="E769" s="122"/>
      <c r="F769" s="123"/>
      <c r="G769" s="123"/>
      <c r="H769" s="123"/>
      <c r="I769" s="123"/>
      <c r="J769" s="123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</row>
    <row r="770">
      <c r="A770" s="122"/>
      <c r="B770" s="122"/>
      <c r="C770" s="122"/>
      <c r="D770" s="122"/>
      <c r="E770" s="122"/>
      <c r="F770" s="123"/>
      <c r="G770" s="123"/>
      <c r="H770" s="123"/>
      <c r="I770" s="123"/>
      <c r="J770" s="123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</row>
    <row r="771">
      <c r="A771" s="122"/>
      <c r="B771" s="122"/>
      <c r="C771" s="122"/>
      <c r="D771" s="122"/>
      <c r="E771" s="122"/>
      <c r="F771" s="123"/>
      <c r="G771" s="123"/>
      <c r="H771" s="123"/>
      <c r="I771" s="123"/>
      <c r="J771" s="123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</row>
    <row r="772">
      <c r="A772" s="122"/>
      <c r="B772" s="122"/>
      <c r="C772" s="122"/>
      <c r="D772" s="122"/>
      <c r="E772" s="122"/>
      <c r="F772" s="123"/>
      <c r="G772" s="123"/>
      <c r="H772" s="123"/>
      <c r="I772" s="123"/>
      <c r="J772" s="123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</row>
    <row r="773">
      <c r="A773" s="122"/>
      <c r="B773" s="122"/>
      <c r="C773" s="122"/>
      <c r="D773" s="122"/>
      <c r="E773" s="122"/>
      <c r="F773" s="123"/>
      <c r="G773" s="123"/>
      <c r="H773" s="123"/>
      <c r="I773" s="123"/>
      <c r="J773" s="123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</row>
    <row r="774">
      <c r="A774" s="122"/>
      <c r="B774" s="122"/>
      <c r="C774" s="122"/>
      <c r="D774" s="122"/>
      <c r="E774" s="122"/>
      <c r="F774" s="123"/>
      <c r="G774" s="123"/>
      <c r="H774" s="123"/>
      <c r="I774" s="123"/>
      <c r="J774" s="123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</row>
    <row r="775">
      <c r="A775" s="122"/>
      <c r="B775" s="122"/>
      <c r="C775" s="122"/>
      <c r="D775" s="122"/>
      <c r="E775" s="122"/>
      <c r="F775" s="123"/>
      <c r="G775" s="123"/>
      <c r="H775" s="123"/>
      <c r="I775" s="123"/>
      <c r="J775" s="123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</row>
    <row r="776">
      <c r="A776" s="122"/>
      <c r="B776" s="122"/>
      <c r="C776" s="122"/>
      <c r="D776" s="122"/>
      <c r="E776" s="122"/>
      <c r="F776" s="123"/>
      <c r="G776" s="123"/>
      <c r="H776" s="123"/>
      <c r="I776" s="123"/>
      <c r="J776" s="123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</row>
    <row r="777">
      <c r="A777" s="122"/>
      <c r="B777" s="122"/>
      <c r="C777" s="122"/>
      <c r="D777" s="122"/>
      <c r="E777" s="122"/>
      <c r="F777" s="123"/>
      <c r="G777" s="123"/>
      <c r="H777" s="123"/>
      <c r="I777" s="123"/>
      <c r="J777" s="123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</row>
    <row r="778">
      <c r="A778" s="122"/>
      <c r="B778" s="122"/>
      <c r="C778" s="122"/>
      <c r="D778" s="122"/>
      <c r="E778" s="122"/>
      <c r="F778" s="123"/>
      <c r="G778" s="123"/>
      <c r="H778" s="123"/>
      <c r="I778" s="123"/>
      <c r="J778" s="123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</row>
    <row r="779">
      <c r="A779" s="122"/>
      <c r="B779" s="122"/>
      <c r="C779" s="122"/>
      <c r="D779" s="122"/>
      <c r="E779" s="122"/>
      <c r="F779" s="123"/>
      <c r="G779" s="123"/>
      <c r="H779" s="123"/>
      <c r="I779" s="123"/>
      <c r="J779" s="123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</row>
    <row r="780">
      <c r="A780" s="122"/>
      <c r="B780" s="122"/>
      <c r="C780" s="122"/>
      <c r="D780" s="122"/>
      <c r="E780" s="122"/>
      <c r="F780" s="123"/>
      <c r="G780" s="123"/>
      <c r="H780" s="123"/>
      <c r="I780" s="123"/>
      <c r="J780" s="123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</row>
    <row r="781">
      <c r="A781" s="122"/>
      <c r="B781" s="122"/>
      <c r="C781" s="122"/>
      <c r="D781" s="122"/>
      <c r="E781" s="122"/>
      <c r="F781" s="123"/>
      <c r="G781" s="123"/>
      <c r="H781" s="123"/>
      <c r="I781" s="123"/>
      <c r="J781" s="123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</row>
    <row r="782">
      <c r="A782" s="122"/>
      <c r="B782" s="122"/>
      <c r="C782" s="122"/>
      <c r="D782" s="122"/>
      <c r="E782" s="122"/>
      <c r="F782" s="123"/>
      <c r="G782" s="123"/>
      <c r="H782" s="123"/>
      <c r="I782" s="123"/>
      <c r="J782" s="123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</row>
    <row r="783">
      <c r="A783" s="122"/>
      <c r="B783" s="122"/>
      <c r="C783" s="122"/>
      <c r="D783" s="122"/>
      <c r="E783" s="122"/>
      <c r="F783" s="123"/>
      <c r="G783" s="123"/>
      <c r="H783" s="123"/>
      <c r="I783" s="123"/>
      <c r="J783" s="123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</row>
    <row r="784">
      <c r="A784" s="122"/>
      <c r="B784" s="122"/>
      <c r="C784" s="122"/>
      <c r="D784" s="122"/>
      <c r="E784" s="122"/>
      <c r="F784" s="123"/>
      <c r="G784" s="123"/>
      <c r="H784" s="123"/>
      <c r="I784" s="123"/>
      <c r="J784" s="123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</row>
    <row r="785">
      <c r="A785" s="122"/>
      <c r="B785" s="122"/>
      <c r="C785" s="122"/>
      <c r="D785" s="122"/>
      <c r="E785" s="122"/>
      <c r="F785" s="123"/>
      <c r="G785" s="123"/>
      <c r="H785" s="123"/>
      <c r="I785" s="123"/>
      <c r="J785" s="123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</row>
    <row r="786">
      <c r="A786" s="122"/>
      <c r="B786" s="122"/>
      <c r="C786" s="122"/>
      <c r="D786" s="122"/>
      <c r="E786" s="122"/>
      <c r="F786" s="123"/>
      <c r="G786" s="123"/>
      <c r="H786" s="123"/>
      <c r="I786" s="123"/>
      <c r="J786" s="123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</row>
    <row r="787">
      <c r="A787" s="122"/>
      <c r="B787" s="122"/>
      <c r="C787" s="122"/>
      <c r="D787" s="122"/>
      <c r="E787" s="122"/>
      <c r="F787" s="123"/>
      <c r="G787" s="123"/>
      <c r="H787" s="123"/>
      <c r="I787" s="123"/>
      <c r="J787" s="123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</row>
    <row r="788">
      <c r="A788" s="122"/>
      <c r="B788" s="122"/>
      <c r="C788" s="122"/>
      <c r="D788" s="122"/>
      <c r="E788" s="122"/>
      <c r="F788" s="123"/>
      <c r="G788" s="123"/>
      <c r="H788" s="123"/>
      <c r="I788" s="123"/>
      <c r="J788" s="123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</row>
    <row r="789">
      <c r="A789" s="122"/>
      <c r="B789" s="122"/>
      <c r="C789" s="122"/>
      <c r="D789" s="122"/>
      <c r="E789" s="122"/>
      <c r="F789" s="123"/>
      <c r="G789" s="123"/>
      <c r="H789" s="123"/>
      <c r="I789" s="123"/>
      <c r="J789" s="123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</row>
    <row r="790">
      <c r="A790" s="122"/>
      <c r="B790" s="122"/>
      <c r="C790" s="122"/>
      <c r="D790" s="122"/>
      <c r="E790" s="122"/>
      <c r="F790" s="123"/>
      <c r="G790" s="123"/>
      <c r="H790" s="123"/>
      <c r="I790" s="123"/>
      <c r="J790" s="123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</row>
    <row r="791">
      <c r="A791" s="122"/>
      <c r="B791" s="122"/>
      <c r="C791" s="122"/>
      <c r="D791" s="122"/>
      <c r="E791" s="122"/>
      <c r="F791" s="123"/>
      <c r="G791" s="123"/>
      <c r="H791" s="123"/>
      <c r="I791" s="123"/>
      <c r="J791" s="123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</row>
    <row r="792">
      <c r="A792" s="122"/>
      <c r="B792" s="122"/>
      <c r="C792" s="122"/>
      <c r="D792" s="122"/>
      <c r="E792" s="122"/>
      <c r="F792" s="123"/>
      <c r="G792" s="123"/>
      <c r="H792" s="123"/>
      <c r="I792" s="123"/>
      <c r="J792" s="123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</row>
    <row r="793">
      <c r="A793" s="122"/>
      <c r="B793" s="122"/>
      <c r="C793" s="122"/>
      <c r="D793" s="122"/>
      <c r="E793" s="122"/>
      <c r="F793" s="123"/>
      <c r="G793" s="123"/>
      <c r="H793" s="123"/>
      <c r="I793" s="123"/>
      <c r="J793" s="123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</row>
    <row r="794">
      <c r="A794" s="122"/>
      <c r="B794" s="122"/>
      <c r="C794" s="122"/>
      <c r="D794" s="122"/>
      <c r="E794" s="122"/>
      <c r="F794" s="123"/>
      <c r="G794" s="123"/>
      <c r="H794" s="123"/>
      <c r="I794" s="123"/>
      <c r="J794" s="123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</row>
    <row r="795">
      <c r="A795" s="122"/>
      <c r="B795" s="122"/>
      <c r="C795" s="122"/>
      <c r="D795" s="122"/>
      <c r="E795" s="122"/>
      <c r="F795" s="123"/>
      <c r="G795" s="123"/>
      <c r="H795" s="123"/>
      <c r="I795" s="123"/>
      <c r="J795" s="123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</row>
    <row r="796">
      <c r="A796" s="122"/>
      <c r="B796" s="122"/>
      <c r="C796" s="122"/>
      <c r="D796" s="122"/>
      <c r="E796" s="122"/>
      <c r="F796" s="123"/>
      <c r="G796" s="123"/>
      <c r="H796" s="123"/>
      <c r="I796" s="123"/>
      <c r="J796" s="123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</row>
    <row r="797">
      <c r="A797" s="122"/>
      <c r="B797" s="122"/>
      <c r="C797" s="122"/>
      <c r="D797" s="122"/>
      <c r="E797" s="122"/>
      <c r="F797" s="123"/>
      <c r="G797" s="123"/>
      <c r="H797" s="123"/>
      <c r="I797" s="123"/>
      <c r="J797" s="123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</row>
    <row r="798">
      <c r="A798" s="122"/>
      <c r="B798" s="122"/>
      <c r="C798" s="122"/>
      <c r="D798" s="122"/>
      <c r="E798" s="122"/>
      <c r="F798" s="123"/>
      <c r="G798" s="123"/>
      <c r="H798" s="123"/>
      <c r="I798" s="123"/>
      <c r="J798" s="123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</row>
    <row r="799">
      <c r="A799" s="122"/>
      <c r="B799" s="122"/>
      <c r="C799" s="122"/>
      <c r="D799" s="122"/>
      <c r="E799" s="122"/>
      <c r="F799" s="123"/>
      <c r="G799" s="123"/>
      <c r="H799" s="123"/>
      <c r="I799" s="123"/>
      <c r="J799" s="123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</row>
    <row r="800">
      <c r="A800" s="122"/>
      <c r="B800" s="122"/>
      <c r="C800" s="122"/>
      <c r="D800" s="122"/>
      <c r="E800" s="122"/>
      <c r="F800" s="123"/>
      <c r="G800" s="123"/>
      <c r="H800" s="123"/>
      <c r="I800" s="123"/>
      <c r="J800" s="123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</row>
    <row r="801">
      <c r="A801" s="122"/>
      <c r="B801" s="122"/>
      <c r="C801" s="122"/>
      <c r="D801" s="122"/>
      <c r="E801" s="122"/>
      <c r="F801" s="123"/>
      <c r="G801" s="123"/>
      <c r="H801" s="123"/>
      <c r="I801" s="123"/>
      <c r="J801" s="123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</row>
    <row r="802">
      <c r="A802" s="122"/>
      <c r="B802" s="122"/>
      <c r="C802" s="122"/>
      <c r="D802" s="122"/>
      <c r="E802" s="122"/>
      <c r="F802" s="123"/>
      <c r="G802" s="123"/>
      <c r="H802" s="123"/>
      <c r="I802" s="123"/>
      <c r="J802" s="123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</row>
    <row r="803">
      <c r="A803" s="122"/>
      <c r="B803" s="122"/>
      <c r="C803" s="122"/>
      <c r="D803" s="122"/>
      <c r="E803" s="122"/>
      <c r="F803" s="123"/>
      <c r="G803" s="123"/>
      <c r="H803" s="123"/>
      <c r="I803" s="123"/>
      <c r="J803" s="123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</row>
    <row r="804">
      <c r="A804" s="122"/>
      <c r="B804" s="122"/>
      <c r="C804" s="122"/>
      <c r="D804" s="122"/>
      <c r="E804" s="122"/>
      <c r="F804" s="123"/>
      <c r="G804" s="123"/>
      <c r="H804" s="123"/>
      <c r="I804" s="123"/>
      <c r="J804" s="123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</row>
    <row r="805">
      <c r="A805" s="122"/>
      <c r="B805" s="122"/>
      <c r="C805" s="122"/>
      <c r="D805" s="122"/>
      <c r="E805" s="122"/>
      <c r="F805" s="123"/>
      <c r="G805" s="123"/>
      <c r="H805" s="123"/>
      <c r="I805" s="123"/>
      <c r="J805" s="123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</row>
    <row r="806">
      <c r="A806" s="122"/>
      <c r="B806" s="122"/>
      <c r="C806" s="122"/>
      <c r="D806" s="122"/>
      <c r="E806" s="122"/>
      <c r="F806" s="123"/>
      <c r="G806" s="123"/>
      <c r="H806" s="123"/>
      <c r="I806" s="123"/>
      <c r="J806" s="123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</row>
    <row r="807">
      <c r="A807" s="122"/>
      <c r="B807" s="122"/>
      <c r="C807" s="122"/>
      <c r="D807" s="122"/>
      <c r="E807" s="122"/>
      <c r="F807" s="123"/>
      <c r="G807" s="123"/>
      <c r="H807" s="123"/>
      <c r="I807" s="123"/>
      <c r="J807" s="123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</row>
    <row r="808">
      <c r="A808" s="122"/>
      <c r="B808" s="122"/>
      <c r="C808" s="122"/>
      <c r="D808" s="122"/>
      <c r="E808" s="122"/>
      <c r="F808" s="123"/>
      <c r="G808" s="123"/>
      <c r="H808" s="123"/>
      <c r="I808" s="123"/>
      <c r="J808" s="123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</row>
    <row r="809">
      <c r="A809" s="122"/>
      <c r="B809" s="122"/>
      <c r="C809" s="122"/>
      <c r="D809" s="122"/>
      <c r="E809" s="122"/>
      <c r="F809" s="123"/>
      <c r="G809" s="123"/>
      <c r="H809" s="123"/>
      <c r="I809" s="123"/>
      <c r="J809" s="123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</row>
    <row r="810">
      <c r="A810" s="122"/>
      <c r="B810" s="122"/>
      <c r="C810" s="122"/>
      <c r="D810" s="122"/>
      <c r="E810" s="122"/>
      <c r="F810" s="123"/>
      <c r="G810" s="123"/>
      <c r="H810" s="123"/>
      <c r="I810" s="123"/>
      <c r="J810" s="123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</row>
    <row r="811">
      <c r="A811" s="122"/>
      <c r="B811" s="122"/>
      <c r="C811" s="122"/>
      <c r="D811" s="122"/>
      <c r="E811" s="122"/>
      <c r="F811" s="123"/>
      <c r="G811" s="123"/>
      <c r="H811" s="123"/>
      <c r="I811" s="123"/>
      <c r="J811" s="123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</row>
    <row r="812">
      <c r="A812" s="122"/>
      <c r="B812" s="122"/>
      <c r="C812" s="122"/>
      <c r="D812" s="122"/>
      <c r="E812" s="122"/>
      <c r="F812" s="123"/>
      <c r="G812" s="123"/>
      <c r="H812" s="123"/>
      <c r="I812" s="123"/>
      <c r="J812" s="123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</row>
    <row r="813">
      <c r="A813" s="122"/>
      <c r="B813" s="122"/>
      <c r="C813" s="122"/>
      <c r="D813" s="122"/>
      <c r="E813" s="122"/>
      <c r="F813" s="123"/>
      <c r="G813" s="123"/>
      <c r="H813" s="123"/>
      <c r="I813" s="123"/>
      <c r="J813" s="123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</row>
    <row r="814">
      <c r="A814" s="122"/>
      <c r="B814" s="122"/>
      <c r="C814" s="122"/>
      <c r="D814" s="122"/>
      <c r="E814" s="122"/>
      <c r="F814" s="123"/>
      <c r="G814" s="123"/>
      <c r="H814" s="123"/>
      <c r="I814" s="123"/>
      <c r="J814" s="123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</row>
    <row r="815">
      <c r="A815" s="122"/>
      <c r="B815" s="122"/>
      <c r="C815" s="122"/>
      <c r="D815" s="122"/>
      <c r="E815" s="122"/>
      <c r="F815" s="123"/>
      <c r="G815" s="123"/>
      <c r="H815" s="123"/>
      <c r="I815" s="123"/>
      <c r="J815" s="123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</row>
    <row r="816">
      <c r="A816" s="122"/>
      <c r="B816" s="122"/>
      <c r="C816" s="122"/>
      <c r="D816" s="122"/>
      <c r="E816" s="122"/>
      <c r="F816" s="123"/>
      <c r="G816" s="123"/>
      <c r="H816" s="123"/>
      <c r="I816" s="123"/>
      <c r="J816" s="123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</row>
    <row r="817">
      <c r="A817" s="122"/>
      <c r="B817" s="122"/>
      <c r="C817" s="122"/>
      <c r="D817" s="122"/>
      <c r="E817" s="122"/>
      <c r="F817" s="123"/>
      <c r="G817" s="123"/>
      <c r="H817" s="123"/>
      <c r="I817" s="123"/>
      <c r="J817" s="123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</row>
    <row r="818">
      <c r="A818" s="122"/>
      <c r="B818" s="122"/>
      <c r="C818" s="122"/>
      <c r="D818" s="122"/>
      <c r="E818" s="122"/>
      <c r="F818" s="123"/>
      <c r="G818" s="123"/>
      <c r="H818" s="123"/>
      <c r="I818" s="123"/>
      <c r="J818" s="123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</row>
    <row r="819">
      <c r="A819" s="122"/>
      <c r="B819" s="122"/>
      <c r="C819" s="122"/>
      <c r="D819" s="122"/>
      <c r="E819" s="122"/>
      <c r="F819" s="123"/>
      <c r="G819" s="123"/>
      <c r="H819" s="123"/>
      <c r="I819" s="123"/>
      <c r="J819" s="123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</row>
    <row r="820">
      <c r="A820" s="122"/>
      <c r="B820" s="122"/>
      <c r="C820" s="122"/>
      <c r="D820" s="122"/>
      <c r="E820" s="122"/>
      <c r="F820" s="123"/>
      <c r="G820" s="123"/>
      <c r="H820" s="123"/>
      <c r="I820" s="123"/>
      <c r="J820" s="123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</row>
    <row r="821">
      <c r="A821" s="122"/>
      <c r="B821" s="122"/>
      <c r="C821" s="122"/>
      <c r="D821" s="122"/>
      <c r="E821" s="122"/>
      <c r="F821" s="123"/>
      <c r="G821" s="123"/>
      <c r="H821" s="123"/>
      <c r="I821" s="123"/>
      <c r="J821" s="123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</row>
    <row r="822">
      <c r="A822" s="122"/>
      <c r="B822" s="122"/>
      <c r="C822" s="122"/>
      <c r="D822" s="122"/>
      <c r="E822" s="122"/>
      <c r="F822" s="123"/>
      <c r="G822" s="123"/>
      <c r="H822" s="123"/>
      <c r="I822" s="123"/>
      <c r="J822" s="123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</row>
    <row r="823">
      <c r="A823" s="122"/>
      <c r="B823" s="122"/>
      <c r="C823" s="122"/>
      <c r="D823" s="122"/>
      <c r="E823" s="122"/>
      <c r="F823" s="123"/>
      <c r="G823" s="123"/>
      <c r="H823" s="123"/>
      <c r="I823" s="123"/>
      <c r="J823" s="123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</row>
    <row r="824">
      <c r="A824" s="122"/>
      <c r="B824" s="122"/>
      <c r="C824" s="122"/>
      <c r="D824" s="122"/>
      <c r="E824" s="122"/>
      <c r="F824" s="123"/>
      <c r="G824" s="123"/>
      <c r="H824" s="123"/>
      <c r="I824" s="123"/>
      <c r="J824" s="123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</row>
    <row r="825">
      <c r="A825" s="122"/>
      <c r="B825" s="122"/>
      <c r="C825" s="122"/>
      <c r="D825" s="122"/>
      <c r="E825" s="122"/>
      <c r="F825" s="123"/>
      <c r="G825" s="123"/>
      <c r="H825" s="123"/>
      <c r="I825" s="123"/>
      <c r="J825" s="123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</row>
    <row r="826">
      <c r="A826" s="122"/>
      <c r="B826" s="122"/>
      <c r="C826" s="122"/>
      <c r="D826" s="122"/>
      <c r="E826" s="122"/>
      <c r="F826" s="123"/>
      <c r="G826" s="123"/>
      <c r="H826" s="123"/>
      <c r="I826" s="123"/>
      <c r="J826" s="123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</row>
    <row r="827">
      <c r="A827" s="122"/>
      <c r="B827" s="122"/>
      <c r="C827" s="122"/>
      <c r="D827" s="122"/>
      <c r="E827" s="122"/>
      <c r="F827" s="123"/>
      <c r="G827" s="123"/>
      <c r="H827" s="123"/>
      <c r="I827" s="123"/>
      <c r="J827" s="123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</row>
    <row r="828">
      <c r="A828" s="122"/>
      <c r="B828" s="122"/>
      <c r="C828" s="122"/>
      <c r="D828" s="122"/>
      <c r="E828" s="122"/>
      <c r="F828" s="123"/>
      <c r="G828" s="123"/>
      <c r="H828" s="123"/>
      <c r="I828" s="123"/>
      <c r="J828" s="123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</row>
    <row r="829">
      <c r="A829" s="122"/>
      <c r="B829" s="122"/>
      <c r="C829" s="122"/>
      <c r="D829" s="122"/>
      <c r="E829" s="122"/>
      <c r="F829" s="123"/>
      <c r="G829" s="123"/>
      <c r="H829" s="123"/>
      <c r="I829" s="123"/>
      <c r="J829" s="123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</row>
    <row r="830">
      <c r="A830" s="122"/>
      <c r="B830" s="122"/>
      <c r="C830" s="122"/>
      <c r="D830" s="122"/>
      <c r="E830" s="122"/>
      <c r="F830" s="123"/>
      <c r="G830" s="123"/>
      <c r="H830" s="123"/>
      <c r="I830" s="123"/>
      <c r="J830" s="123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</row>
    <row r="831">
      <c r="A831" s="122"/>
      <c r="B831" s="122"/>
      <c r="C831" s="122"/>
      <c r="D831" s="122"/>
      <c r="E831" s="122"/>
      <c r="F831" s="123"/>
      <c r="G831" s="123"/>
      <c r="H831" s="123"/>
      <c r="I831" s="123"/>
      <c r="J831" s="123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</row>
    <row r="832">
      <c r="A832" s="122"/>
      <c r="B832" s="122"/>
      <c r="C832" s="122"/>
      <c r="D832" s="122"/>
      <c r="E832" s="122"/>
      <c r="F832" s="123"/>
      <c r="G832" s="123"/>
      <c r="H832" s="123"/>
      <c r="I832" s="123"/>
      <c r="J832" s="123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</row>
    <row r="833">
      <c r="A833" s="122"/>
      <c r="B833" s="122"/>
      <c r="C833" s="122"/>
      <c r="D833" s="122"/>
      <c r="E833" s="122"/>
      <c r="F833" s="123"/>
      <c r="G833" s="123"/>
      <c r="H833" s="123"/>
      <c r="I833" s="123"/>
      <c r="J833" s="123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</row>
    <row r="834">
      <c r="A834" s="122"/>
      <c r="B834" s="122"/>
      <c r="C834" s="122"/>
      <c r="D834" s="122"/>
      <c r="E834" s="122"/>
      <c r="F834" s="123"/>
      <c r="G834" s="123"/>
      <c r="H834" s="123"/>
      <c r="I834" s="123"/>
      <c r="J834" s="123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</row>
    <row r="835">
      <c r="A835" s="122"/>
      <c r="B835" s="122"/>
      <c r="C835" s="122"/>
      <c r="D835" s="122"/>
      <c r="E835" s="122"/>
      <c r="F835" s="123"/>
      <c r="G835" s="123"/>
      <c r="H835" s="123"/>
      <c r="I835" s="123"/>
      <c r="J835" s="123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</row>
    <row r="836">
      <c r="A836" s="122"/>
      <c r="B836" s="122"/>
      <c r="C836" s="122"/>
      <c r="D836" s="122"/>
      <c r="E836" s="122"/>
      <c r="F836" s="123"/>
      <c r="G836" s="123"/>
      <c r="H836" s="123"/>
      <c r="I836" s="123"/>
      <c r="J836" s="123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</row>
    <row r="837">
      <c r="A837" s="122"/>
      <c r="B837" s="122"/>
      <c r="C837" s="122"/>
      <c r="D837" s="122"/>
      <c r="E837" s="122"/>
      <c r="F837" s="123"/>
      <c r="G837" s="123"/>
      <c r="H837" s="123"/>
      <c r="I837" s="123"/>
      <c r="J837" s="123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</row>
    <row r="838">
      <c r="A838" s="122"/>
      <c r="B838" s="122"/>
      <c r="C838" s="122"/>
      <c r="D838" s="122"/>
      <c r="E838" s="122"/>
      <c r="F838" s="123"/>
      <c r="G838" s="123"/>
      <c r="H838" s="123"/>
      <c r="I838" s="123"/>
      <c r="J838" s="123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</row>
    <row r="839">
      <c r="A839" s="122"/>
      <c r="B839" s="122"/>
      <c r="C839" s="122"/>
      <c r="D839" s="122"/>
      <c r="E839" s="122"/>
      <c r="F839" s="123"/>
      <c r="G839" s="123"/>
      <c r="H839" s="123"/>
      <c r="I839" s="123"/>
      <c r="J839" s="123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</row>
    <row r="840">
      <c r="A840" s="122"/>
      <c r="B840" s="122"/>
      <c r="C840" s="122"/>
      <c r="D840" s="122"/>
      <c r="E840" s="122"/>
      <c r="F840" s="123"/>
      <c r="G840" s="123"/>
      <c r="H840" s="123"/>
      <c r="I840" s="123"/>
      <c r="J840" s="123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</row>
    <row r="841">
      <c r="A841" s="122"/>
      <c r="B841" s="122"/>
      <c r="C841" s="122"/>
      <c r="D841" s="122"/>
      <c r="E841" s="122"/>
      <c r="F841" s="123"/>
      <c r="G841" s="123"/>
      <c r="H841" s="123"/>
      <c r="I841" s="123"/>
      <c r="J841" s="123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</row>
    <row r="842">
      <c r="A842" s="122"/>
      <c r="B842" s="122"/>
      <c r="C842" s="122"/>
      <c r="D842" s="122"/>
      <c r="E842" s="122"/>
      <c r="F842" s="123"/>
      <c r="G842" s="123"/>
      <c r="H842" s="123"/>
      <c r="I842" s="123"/>
      <c r="J842" s="123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</row>
    <row r="843">
      <c r="A843" s="122"/>
      <c r="B843" s="122"/>
      <c r="C843" s="122"/>
      <c r="D843" s="122"/>
      <c r="E843" s="122"/>
      <c r="F843" s="123"/>
      <c r="G843" s="123"/>
      <c r="H843" s="123"/>
      <c r="I843" s="123"/>
      <c r="J843" s="123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</row>
    <row r="844">
      <c r="A844" s="122"/>
      <c r="B844" s="122"/>
      <c r="C844" s="122"/>
      <c r="D844" s="122"/>
      <c r="E844" s="122"/>
      <c r="F844" s="123"/>
      <c r="G844" s="123"/>
      <c r="H844" s="123"/>
      <c r="I844" s="123"/>
      <c r="J844" s="123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</row>
    <row r="845">
      <c r="A845" s="122"/>
      <c r="B845" s="122"/>
      <c r="C845" s="122"/>
      <c r="D845" s="122"/>
      <c r="E845" s="122"/>
      <c r="F845" s="123"/>
      <c r="G845" s="123"/>
      <c r="H845" s="123"/>
      <c r="I845" s="123"/>
      <c r="J845" s="123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</row>
    <row r="846">
      <c r="A846" s="122"/>
      <c r="B846" s="122"/>
      <c r="C846" s="122"/>
      <c r="D846" s="122"/>
      <c r="E846" s="122"/>
      <c r="F846" s="123"/>
      <c r="G846" s="123"/>
      <c r="H846" s="123"/>
      <c r="I846" s="123"/>
      <c r="J846" s="123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</row>
    <row r="847">
      <c r="A847" s="122"/>
      <c r="B847" s="122"/>
      <c r="C847" s="122"/>
      <c r="D847" s="122"/>
      <c r="E847" s="122"/>
      <c r="F847" s="123"/>
      <c r="G847" s="123"/>
      <c r="H847" s="123"/>
      <c r="I847" s="123"/>
      <c r="J847" s="123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</row>
    <row r="848">
      <c r="A848" s="122"/>
      <c r="B848" s="122"/>
      <c r="C848" s="122"/>
      <c r="D848" s="122"/>
      <c r="E848" s="122"/>
      <c r="F848" s="123"/>
      <c r="G848" s="123"/>
      <c r="H848" s="123"/>
      <c r="I848" s="123"/>
      <c r="J848" s="123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</row>
    <row r="849">
      <c r="A849" s="122"/>
      <c r="B849" s="122"/>
      <c r="C849" s="122"/>
      <c r="D849" s="122"/>
      <c r="E849" s="122"/>
      <c r="F849" s="123"/>
      <c r="G849" s="123"/>
      <c r="H849" s="123"/>
      <c r="I849" s="123"/>
      <c r="J849" s="123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</row>
    <row r="850">
      <c r="A850" s="122"/>
      <c r="B850" s="122"/>
      <c r="C850" s="122"/>
      <c r="D850" s="122"/>
      <c r="E850" s="122"/>
      <c r="F850" s="123"/>
      <c r="G850" s="123"/>
      <c r="H850" s="123"/>
      <c r="I850" s="123"/>
      <c r="J850" s="123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</row>
    <row r="851">
      <c r="A851" s="122"/>
      <c r="B851" s="122"/>
      <c r="C851" s="122"/>
      <c r="D851" s="122"/>
      <c r="E851" s="122"/>
      <c r="F851" s="123"/>
      <c r="G851" s="123"/>
      <c r="H851" s="123"/>
      <c r="I851" s="123"/>
      <c r="J851" s="123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</row>
    <row r="852">
      <c r="A852" s="122"/>
      <c r="B852" s="122"/>
      <c r="C852" s="122"/>
      <c r="D852" s="122"/>
      <c r="E852" s="122"/>
      <c r="F852" s="123"/>
      <c r="G852" s="123"/>
      <c r="H852" s="123"/>
      <c r="I852" s="123"/>
      <c r="J852" s="123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</row>
    <row r="853">
      <c r="A853" s="122"/>
      <c r="B853" s="122"/>
      <c r="C853" s="122"/>
      <c r="D853" s="122"/>
      <c r="E853" s="122"/>
      <c r="F853" s="123"/>
      <c r="G853" s="123"/>
      <c r="H853" s="123"/>
      <c r="I853" s="123"/>
      <c r="J853" s="123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</row>
    <row r="854">
      <c r="A854" s="122"/>
      <c r="B854" s="122"/>
      <c r="C854" s="122"/>
      <c r="D854" s="122"/>
      <c r="E854" s="122"/>
      <c r="F854" s="123"/>
      <c r="G854" s="123"/>
      <c r="H854" s="123"/>
      <c r="I854" s="123"/>
      <c r="J854" s="123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</row>
    <row r="855">
      <c r="A855" s="122"/>
      <c r="B855" s="122"/>
      <c r="C855" s="122"/>
      <c r="D855" s="122"/>
      <c r="E855" s="122"/>
      <c r="F855" s="123"/>
      <c r="G855" s="123"/>
      <c r="H855" s="123"/>
      <c r="I855" s="123"/>
      <c r="J855" s="123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</row>
    <row r="856">
      <c r="A856" s="122"/>
      <c r="B856" s="122"/>
      <c r="C856" s="122"/>
      <c r="D856" s="122"/>
      <c r="E856" s="122"/>
      <c r="F856" s="123"/>
      <c r="G856" s="123"/>
      <c r="H856" s="123"/>
      <c r="I856" s="123"/>
      <c r="J856" s="123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</row>
    <row r="857">
      <c r="A857" s="122"/>
      <c r="B857" s="122"/>
      <c r="C857" s="122"/>
      <c r="D857" s="122"/>
      <c r="E857" s="122"/>
      <c r="F857" s="123"/>
      <c r="G857" s="123"/>
      <c r="H857" s="123"/>
      <c r="I857" s="123"/>
      <c r="J857" s="123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</row>
    <row r="858">
      <c r="A858" s="122"/>
      <c r="B858" s="122"/>
      <c r="C858" s="122"/>
      <c r="D858" s="122"/>
      <c r="E858" s="122"/>
      <c r="F858" s="123"/>
      <c r="G858" s="123"/>
      <c r="H858" s="123"/>
      <c r="I858" s="123"/>
      <c r="J858" s="123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</row>
    <row r="859">
      <c r="A859" s="122"/>
      <c r="B859" s="122"/>
      <c r="C859" s="122"/>
      <c r="D859" s="122"/>
      <c r="E859" s="122"/>
      <c r="F859" s="123"/>
      <c r="G859" s="123"/>
      <c r="H859" s="123"/>
      <c r="I859" s="123"/>
      <c r="J859" s="123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</row>
    <row r="860">
      <c r="A860" s="122"/>
      <c r="B860" s="122"/>
      <c r="C860" s="122"/>
      <c r="D860" s="122"/>
      <c r="E860" s="122"/>
      <c r="F860" s="123"/>
      <c r="G860" s="123"/>
      <c r="H860" s="123"/>
      <c r="I860" s="123"/>
      <c r="J860" s="123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</row>
    <row r="861">
      <c r="A861" s="122"/>
      <c r="B861" s="122"/>
      <c r="C861" s="122"/>
      <c r="D861" s="122"/>
      <c r="E861" s="122"/>
      <c r="F861" s="123"/>
      <c r="G861" s="123"/>
      <c r="H861" s="123"/>
      <c r="I861" s="123"/>
      <c r="J861" s="123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</row>
    <row r="862">
      <c r="A862" s="122"/>
      <c r="B862" s="122"/>
      <c r="C862" s="122"/>
      <c r="D862" s="122"/>
      <c r="E862" s="122"/>
      <c r="F862" s="123"/>
      <c r="G862" s="123"/>
      <c r="H862" s="123"/>
      <c r="I862" s="123"/>
      <c r="J862" s="123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</row>
    <row r="863">
      <c r="A863" s="122"/>
      <c r="B863" s="122"/>
      <c r="C863" s="122"/>
      <c r="D863" s="122"/>
      <c r="E863" s="122"/>
      <c r="F863" s="123"/>
      <c r="G863" s="123"/>
      <c r="H863" s="123"/>
      <c r="I863" s="123"/>
      <c r="J863" s="123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</row>
    <row r="864">
      <c r="A864" s="122"/>
      <c r="B864" s="122"/>
      <c r="C864" s="122"/>
      <c r="D864" s="122"/>
      <c r="E864" s="122"/>
      <c r="F864" s="123"/>
      <c r="G864" s="123"/>
      <c r="H864" s="123"/>
      <c r="I864" s="123"/>
      <c r="J864" s="123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</row>
    <row r="865">
      <c r="A865" s="122"/>
      <c r="B865" s="122"/>
      <c r="C865" s="122"/>
      <c r="D865" s="122"/>
      <c r="E865" s="122"/>
      <c r="F865" s="123"/>
      <c r="G865" s="123"/>
      <c r="H865" s="123"/>
      <c r="I865" s="123"/>
      <c r="J865" s="123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</row>
    <row r="866">
      <c r="A866" s="122"/>
      <c r="B866" s="122"/>
      <c r="C866" s="122"/>
      <c r="D866" s="122"/>
      <c r="E866" s="122"/>
      <c r="F866" s="123"/>
      <c r="G866" s="123"/>
      <c r="H866" s="123"/>
      <c r="I866" s="123"/>
      <c r="J866" s="123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</row>
    <row r="867">
      <c r="A867" s="122"/>
      <c r="B867" s="122"/>
      <c r="C867" s="122"/>
      <c r="D867" s="122"/>
      <c r="E867" s="122"/>
      <c r="F867" s="123"/>
      <c r="G867" s="123"/>
      <c r="H867" s="123"/>
      <c r="I867" s="123"/>
      <c r="J867" s="123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</row>
    <row r="868">
      <c r="A868" s="122"/>
      <c r="B868" s="122"/>
      <c r="C868" s="122"/>
      <c r="D868" s="122"/>
      <c r="E868" s="122"/>
      <c r="F868" s="123"/>
      <c r="G868" s="123"/>
      <c r="H868" s="123"/>
      <c r="I868" s="123"/>
      <c r="J868" s="123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</row>
    <row r="869">
      <c r="A869" s="122"/>
      <c r="B869" s="122"/>
      <c r="C869" s="122"/>
      <c r="D869" s="122"/>
      <c r="E869" s="122"/>
      <c r="F869" s="123"/>
      <c r="G869" s="123"/>
      <c r="H869" s="123"/>
      <c r="I869" s="123"/>
      <c r="J869" s="123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</row>
    <row r="870">
      <c r="A870" s="122"/>
      <c r="B870" s="122"/>
      <c r="C870" s="122"/>
      <c r="D870" s="122"/>
      <c r="E870" s="122"/>
      <c r="F870" s="123"/>
      <c r="G870" s="123"/>
      <c r="H870" s="123"/>
      <c r="I870" s="123"/>
      <c r="J870" s="123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</row>
    <row r="871">
      <c r="A871" s="122"/>
      <c r="B871" s="122"/>
      <c r="C871" s="122"/>
      <c r="D871" s="122"/>
      <c r="E871" s="122"/>
      <c r="F871" s="123"/>
      <c r="G871" s="123"/>
      <c r="H871" s="123"/>
      <c r="I871" s="123"/>
      <c r="J871" s="123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</row>
    <row r="872">
      <c r="A872" s="122"/>
      <c r="B872" s="122"/>
      <c r="C872" s="122"/>
      <c r="D872" s="122"/>
      <c r="E872" s="122"/>
      <c r="F872" s="123"/>
      <c r="G872" s="123"/>
      <c r="H872" s="123"/>
      <c r="I872" s="123"/>
      <c r="J872" s="123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</row>
    <row r="873">
      <c r="A873" s="122"/>
      <c r="B873" s="122"/>
      <c r="C873" s="122"/>
      <c r="D873" s="122"/>
      <c r="E873" s="122"/>
      <c r="F873" s="123"/>
      <c r="G873" s="123"/>
      <c r="H873" s="123"/>
      <c r="I873" s="123"/>
      <c r="J873" s="123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</row>
    <row r="874">
      <c r="A874" s="122"/>
      <c r="B874" s="122"/>
      <c r="C874" s="122"/>
      <c r="D874" s="122"/>
      <c r="E874" s="122"/>
      <c r="F874" s="123"/>
      <c r="G874" s="123"/>
      <c r="H874" s="123"/>
      <c r="I874" s="123"/>
      <c r="J874" s="123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</row>
    <row r="875">
      <c r="A875" s="122"/>
      <c r="B875" s="122"/>
      <c r="C875" s="122"/>
      <c r="D875" s="122"/>
      <c r="E875" s="122"/>
      <c r="F875" s="123"/>
      <c r="G875" s="123"/>
      <c r="H875" s="123"/>
      <c r="I875" s="123"/>
      <c r="J875" s="123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</row>
    <row r="876">
      <c r="A876" s="122"/>
      <c r="B876" s="122"/>
      <c r="C876" s="122"/>
      <c r="D876" s="122"/>
      <c r="E876" s="122"/>
      <c r="F876" s="123"/>
      <c r="G876" s="123"/>
      <c r="H876" s="123"/>
      <c r="I876" s="123"/>
      <c r="J876" s="123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</row>
    <row r="877">
      <c r="A877" s="122"/>
      <c r="B877" s="122"/>
      <c r="C877" s="122"/>
      <c r="D877" s="122"/>
      <c r="E877" s="122"/>
      <c r="F877" s="123"/>
      <c r="G877" s="123"/>
      <c r="H877" s="123"/>
      <c r="I877" s="123"/>
      <c r="J877" s="123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</row>
    <row r="878">
      <c r="A878" s="122"/>
      <c r="B878" s="122"/>
      <c r="C878" s="122"/>
      <c r="D878" s="122"/>
      <c r="E878" s="122"/>
      <c r="F878" s="123"/>
      <c r="G878" s="123"/>
      <c r="H878" s="123"/>
      <c r="I878" s="123"/>
      <c r="J878" s="123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</row>
    <row r="879">
      <c r="A879" s="122"/>
      <c r="B879" s="122"/>
      <c r="C879" s="122"/>
      <c r="D879" s="122"/>
      <c r="E879" s="122"/>
      <c r="F879" s="123"/>
      <c r="G879" s="123"/>
      <c r="H879" s="123"/>
      <c r="I879" s="123"/>
      <c r="J879" s="123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</row>
    <row r="880">
      <c r="A880" s="122"/>
      <c r="B880" s="122"/>
      <c r="C880" s="122"/>
      <c r="D880" s="122"/>
      <c r="E880" s="122"/>
      <c r="F880" s="123"/>
      <c r="G880" s="123"/>
      <c r="H880" s="123"/>
      <c r="I880" s="123"/>
      <c r="J880" s="123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</row>
    <row r="881">
      <c r="A881" s="122"/>
      <c r="B881" s="122"/>
      <c r="C881" s="122"/>
      <c r="D881" s="122"/>
      <c r="E881" s="122"/>
      <c r="F881" s="123"/>
      <c r="G881" s="123"/>
      <c r="H881" s="123"/>
      <c r="I881" s="123"/>
      <c r="J881" s="123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</row>
    <row r="882">
      <c r="A882" s="122"/>
      <c r="B882" s="122"/>
      <c r="C882" s="122"/>
      <c r="D882" s="122"/>
      <c r="E882" s="122"/>
      <c r="F882" s="123"/>
      <c r="G882" s="123"/>
      <c r="H882" s="123"/>
      <c r="I882" s="123"/>
      <c r="J882" s="123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</row>
    <row r="883">
      <c r="A883" s="122"/>
      <c r="B883" s="122"/>
      <c r="C883" s="122"/>
      <c r="D883" s="122"/>
      <c r="E883" s="122"/>
      <c r="F883" s="123"/>
      <c r="G883" s="123"/>
      <c r="H883" s="123"/>
      <c r="I883" s="123"/>
      <c r="J883" s="123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</row>
    <row r="884">
      <c r="A884" s="122"/>
      <c r="B884" s="122"/>
      <c r="C884" s="122"/>
      <c r="D884" s="122"/>
      <c r="E884" s="122"/>
      <c r="F884" s="123"/>
      <c r="G884" s="123"/>
      <c r="H884" s="123"/>
      <c r="I884" s="123"/>
      <c r="J884" s="123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</row>
    <row r="885">
      <c r="A885" s="122"/>
      <c r="B885" s="122"/>
      <c r="C885" s="122"/>
      <c r="D885" s="122"/>
      <c r="E885" s="122"/>
      <c r="F885" s="123"/>
      <c r="G885" s="123"/>
      <c r="H885" s="123"/>
      <c r="I885" s="123"/>
      <c r="J885" s="123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</row>
    <row r="886">
      <c r="A886" s="122"/>
      <c r="B886" s="122"/>
      <c r="C886" s="122"/>
      <c r="D886" s="122"/>
      <c r="E886" s="122"/>
      <c r="F886" s="123"/>
      <c r="G886" s="123"/>
      <c r="H886" s="123"/>
      <c r="I886" s="123"/>
      <c r="J886" s="123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</row>
    <row r="887">
      <c r="A887" s="122"/>
      <c r="B887" s="122"/>
      <c r="C887" s="122"/>
      <c r="D887" s="122"/>
      <c r="E887" s="122"/>
      <c r="F887" s="123"/>
      <c r="G887" s="123"/>
      <c r="H887" s="123"/>
      <c r="I887" s="123"/>
      <c r="J887" s="123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</row>
    <row r="888">
      <c r="A888" s="122"/>
      <c r="B888" s="122"/>
      <c r="C888" s="122"/>
      <c r="D888" s="122"/>
      <c r="E888" s="122"/>
      <c r="F888" s="123"/>
      <c r="G888" s="123"/>
      <c r="H888" s="123"/>
      <c r="I888" s="123"/>
      <c r="J888" s="123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</row>
    <row r="889">
      <c r="A889" s="122"/>
      <c r="B889" s="122"/>
      <c r="C889" s="122"/>
      <c r="D889" s="122"/>
      <c r="E889" s="122"/>
      <c r="F889" s="123"/>
      <c r="G889" s="123"/>
      <c r="H889" s="123"/>
      <c r="I889" s="123"/>
      <c r="J889" s="123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</row>
    <row r="890">
      <c r="A890" s="122"/>
      <c r="B890" s="122"/>
      <c r="C890" s="122"/>
      <c r="D890" s="122"/>
      <c r="E890" s="122"/>
      <c r="F890" s="123"/>
      <c r="G890" s="123"/>
      <c r="H890" s="123"/>
      <c r="I890" s="123"/>
      <c r="J890" s="123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</row>
    <row r="891">
      <c r="A891" s="122"/>
      <c r="B891" s="122"/>
      <c r="C891" s="122"/>
      <c r="D891" s="122"/>
      <c r="E891" s="122"/>
      <c r="F891" s="123"/>
      <c r="G891" s="123"/>
      <c r="H891" s="123"/>
      <c r="I891" s="123"/>
      <c r="J891" s="123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</row>
    <row r="892">
      <c r="A892" s="122"/>
      <c r="B892" s="122"/>
      <c r="C892" s="122"/>
      <c r="D892" s="122"/>
      <c r="E892" s="122"/>
      <c r="F892" s="123"/>
      <c r="G892" s="123"/>
      <c r="H892" s="123"/>
      <c r="I892" s="123"/>
      <c r="J892" s="123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</row>
    <row r="893">
      <c r="A893" s="122"/>
      <c r="B893" s="122"/>
      <c r="C893" s="122"/>
      <c r="D893" s="122"/>
      <c r="E893" s="122"/>
      <c r="F893" s="123"/>
      <c r="G893" s="123"/>
      <c r="H893" s="123"/>
      <c r="I893" s="123"/>
      <c r="J893" s="123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</row>
    <row r="894">
      <c r="A894" s="122"/>
      <c r="B894" s="122"/>
      <c r="C894" s="122"/>
      <c r="D894" s="122"/>
      <c r="E894" s="122"/>
      <c r="F894" s="123"/>
      <c r="G894" s="123"/>
      <c r="H894" s="123"/>
      <c r="I894" s="123"/>
      <c r="J894" s="123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</row>
    <row r="895">
      <c r="A895" s="122"/>
      <c r="B895" s="122"/>
      <c r="C895" s="122"/>
      <c r="D895" s="122"/>
      <c r="E895" s="122"/>
      <c r="F895" s="123"/>
      <c r="G895" s="123"/>
      <c r="H895" s="123"/>
      <c r="I895" s="123"/>
      <c r="J895" s="123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</row>
    <row r="896">
      <c r="A896" s="122"/>
      <c r="B896" s="122"/>
      <c r="C896" s="122"/>
      <c r="D896" s="122"/>
      <c r="E896" s="122"/>
      <c r="F896" s="123"/>
      <c r="G896" s="123"/>
      <c r="H896" s="123"/>
      <c r="I896" s="123"/>
      <c r="J896" s="123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</row>
    <row r="897">
      <c r="A897" s="122"/>
      <c r="B897" s="122"/>
      <c r="C897" s="122"/>
      <c r="D897" s="122"/>
      <c r="E897" s="122"/>
      <c r="F897" s="123"/>
      <c r="G897" s="123"/>
      <c r="H897" s="123"/>
      <c r="I897" s="123"/>
      <c r="J897" s="123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</row>
    <row r="898">
      <c r="A898" s="122"/>
      <c r="B898" s="122"/>
      <c r="C898" s="122"/>
      <c r="D898" s="122"/>
      <c r="E898" s="122"/>
      <c r="F898" s="123"/>
      <c r="G898" s="123"/>
      <c r="H898" s="123"/>
      <c r="I898" s="123"/>
      <c r="J898" s="123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</row>
    <row r="899">
      <c r="A899" s="122"/>
      <c r="B899" s="122"/>
      <c r="C899" s="122"/>
      <c r="D899" s="122"/>
      <c r="E899" s="122"/>
      <c r="F899" s="123"/>
      <c r="G899" s="123"/>
      <c r="H899" s="123"/>
      <c r="I899" s="123"/>
      <c r="J899" s="123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</row>
    <row r="900">
      <c r="A900" s="122"/>
      <c r="B900" s="122"/>
      <c r="C900" s="122"/>
      <c r="D900" s="122"/>
      <c r="E900" s="122"/>
      <c r="F900" s="123"/>
      <c r="G900" s="123"/>
      <c r="H900" s="123"/>
      <c r="I900" s="123"/>
      <c r="J900" s="123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</row>
    <row r="901">
      <c r="A901" s="122"/>
      <c r="B901" s="122"/>
      <c r="C901" s="122"/>
      <c r="D901" s="122"/>
      <c r="E901" s="122"/>
      <c r="F901" s="123"/>
      <c r="G901" s="123"/>
      <c r="H901" s="123"/>
      <c r="I901" s="123"/>
      <c r="J901" s="123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</row>
    <row r="902">
      <c r="A902" s="122"/>
      <c r="B902" s="122"/>
      <c r="C902" s="122"/>
      <c r="D902" s="122"/>
      <c r="E902" s="122"/>
      <c r="F902" s="123"/>
      <c r="G902" s="123"/>
      <c r="H902" s="123"/>
      <c r="I902" s="123"/>
      <c r="J902" s="123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</row>
    <row r="903">
      <c r="A903" s="122"/>
      <c r="B903" s="122"/>
      <c r="C903" s="122"/>
      <c r="D903" s="122"/>
      <c r="E903" s="122"/>
      <c r="F903" s="123"/>
      <c r="G903" s="123"/>
      <c r="H903" s="123"/>
      <c r="I903" s="123"/>
      <c r="J903" s="123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</row>
    <row r="904">
      <c r="A904" s="122"/>
      <c r="B904" s="122"/>
      <c r="C904" s="122"/>
      <c r="D904" s="122"/>
      <c r="E904" s="122"/>
      <c r="F904" s="123"/>
      <c r="G904" s="123"/>
      <c r="H904" s="123"/>
      <c r="I904" s="123"/>
      <c r="J904" s="123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</row>
    <row r="905">
      <c r="A905" s="122"/>
      <c r="B905" s="122"/>
      <c r="C905" s="122"/>
      <c r="D905" s="122"/>
      <c r="E905" s="122"/>
      <c r="F905" s="123"/>
      <c r="G905" s="123"/>
      <c r="H905" s="123"/>
      <c r="I905" s="123"/>
      <c r="J905" s="123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</row>
    <row r="906">
      <c r="A906" s="122"/>
      <c r="B906" s="122"/>
      <c r="C906" s="122"/>
      <c r="D906" s="122"/>
      <c r="E906" s="122"/>
      <c r="F906" s="123"/>
      <c r="G906" s="123"/>
      <c r="H906" s="123"/>
      <c r="I906" s="123"/>
      <c r="J906" s="123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</row>
    <row r="907">
      <c r="A907" s="122"/>
      <c r="B907" s="122"/>
      <c r="C907" s="122"/>
      <c r="D907" s="122"/>
      <c r="E907" s="122"/>
      <c r="F907" s="123"/>
      <c r="G907" s="123"/>
      <c r="H907" s="123"/>
      <c r="I907" s="123"/>
      <c r="J907" s="123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</row>
    <row r="908">
      <c r="A908" s="122"/>
      <c r="B908" s="122"/>
      <c r="C908" s="122"/>
      <c r="D908" s="122"/>
      <c r="E908" s="122"/>
      <c r="F908" s="123"/>
      <c r="G908" s="123"/>
      <c r="H908" s="123"/>
      <c r="I908" s="123"/>
      <c r="J908" s="123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</row>
    <row r="909">
      <c r="A909" s="122"/>
      <c r="B909" s="122"/>
      <c r="C909" s="122"/>
      <c r="D909" s="122"/>
      <c r="E909" s="122"/>
      <c r="F909" s="123"/>
      <c r="G909" s="123"/>
      <c r="H909" s="123"/>
      <c r="I909" s="123"/>
      <c r="J909" s="123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</row>
    <row r="910">
      <c r="A910" s="122"/>
      <c r="B910" s="122"/>
      <c r="C910" s="122"/>
      <c r="D910" s="122"/>
      <c r="E910" s="122"/>
      <c r="F910" s="123"/>
      <c r="G910" s="123"/>
      <c r="H910" s="123"/>
      <c r="I910" s="123"/>
      <c r="J910" s="123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</row>
    <row r="911">
      <c r="A911" s="122"/>
      <c r="B911" s="122"/>
      <c r="C911" s="122"/>
      <c r="D911" s="122"/>
      <c r="E911" s="122"/>
      <c r="F911" s="123"/>
      <c r="G911" s="123"/>
      <c r="H911" s="123"/>
      <c r="I911" s="123"/>
      <c r="J911" s="123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</row>
    <row r="912">
      <c r="A912" s="122"/>
      <c r="B912" s="122"/>
      <c r="C912" s="122"/>
      <c r="D912" s="122"/>
      <c r="E912" s="122"/>
      <c r="F912" s="123"/>
      <c r="G912" s="123"/>
      <c r="H912" s="123"/>
      <c r="I912" s="123"/>
      <c r="J912" s="123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</row>
    <row r="913">
      <c r="A913" s="122"/>
      <c r="B913" s="122"/>
      <c r="C913" s="122"/>
      <c r="D913" s="122"/>
      <c r="E913" s="122"/>
      <c r="F913" s="123"/>
      <c r="G913" s="123"/>
      <c r="H913" s="123"/>
      <c r="I913" s="123"/>
      <c r="J913" s="123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</row>
    <row r="914">
      <c r="A914" s="122"/>
      <c r="B914" s="122"/>
      <c r="C914" s="122"/>
      <c r="D914" s="122"/>
      <c r="E914" s="122"/>
      <c r="F914" s="123"/>
      <c r="G914" s="123"/>
      <c r="H914" s="123"/>
      <c r="I914" s="123"/>
      <c r="J914" s="123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</row>
    <row r="915">
      <c r="A915" s="122"/>
      <c r="B915" s="122"/>
      <c r="C915" s="122"/>
      <c r="D915" s="122"/>
      <c r="E915" s="122"/>
      <c r="F915" s="123"/>
      <c r="G915" s="123"/>
      <c r="H915" s="123"/>
      <c r="I915" s="123"/>
      <c r="J915" s="123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</row>
    <row r="916">
      <c r="A916" s="122"/>
      <c r="B916" s="122"/>
      <c r="C916" s="122"/>
      <c r="D916" s="122"/>
      <c r="E916" s="122"/>
      <c r="F916" s="123"/>
      <c r="G916" s="123"/>
      <c r="H916" s="123"/>
      <c r="I916" s="123"/>
      <c r="J916" s="123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</row>
    <row r="917">
      <c r="A917" s="122"/>
      <c r="B917" s="122"/>
      <c r="C917" s="122"/>
      <c r="D917" s="122"/>
      <c r="E917" s="122"/>
      <c r="F917" s="123"/>
      <c r="G917" s="123"/>
      <c r="H917" s="123"/>
      <c r="I917" s="123"/>
      <c r="J917" s="123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</row>
    <row r="918">
      <c r="A918" s="122"/>
      <c r="B918" s="122"/>
      <c r="C918" s="122"/>
      <c r="D918" s="122"/>
      <c r="E918" s="122"/>
      <c r="F918" s="123"/>
      <c r="G918" s="123"/>
      <c r="H918" s="123"/>
      <c r="I918" s="123"/>
      <c r="J918" s="123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</row>
    <row r="919">
      <c r="A919" s="122"/>
      <c r="B919" s="122"/>
      <c r="C919" s="122"/>
      <c r="D919" s="122"/>
      <c r="E919" s="122"/>
      <c r="F919" s="123"/>
      <c r="G919" s="123"/>
      <c r="H919" s="123"/>
      <c r="I919" s="123"/>
      <c r="J919" s="123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</row>
    <row r="920">
      <c r="A920" s="122"/>
      <c r="B920" s="122"/>
      <c r="C920" s="122"/>
      <c r="D920" s="122"/>
      <c r="E920" s="122"/>
      <c r="F920" s="123"/>
      <c r="G920" s="123"/>
      <c r="H920" s="123"/>
      <c r="I920" s="123"/>
      <c r="J920" s="123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</row>
    <row r="921">
      <c r="A921" s="122"/>
      <c r="B921" s="122"/>
      <c r="C921" s="122"/>
      <c r="D921" s="122"/>
      <c r="E921" s="122"/>
      <c r="F921" s="123"/>
      <c r="G921" s="123"/>
      <c r="H921" s="123"/>
      <c r="I921" s="123"/>
      <c r="J921" s="123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</row>
    <row r="922">
      <c r="A922" s="122"/>
      <c r="B922" s="122"/>
      <c r="C922" s="122"/>
      <c r="D922" s="122"/>
      <c r="E922" s="122"/>
      <c r="F922" s="123"/>
      <c r="G922" s="123"/>
      <c r="H922" s="123"/>
      <c r="I922" s="123"/>
      <c r="J922" s="123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</row>
    <row r="923">
      <c r="A923" s="122"/>
      <c r="B923" s="122"/>
      <c r="C923" s="122"/>
      <c r="D923" s="122"/>
      <c r="E923" s="122"/>
      <c r="F923" s="123"/>
      <c r="G923" s="123"/>
      <c r="H923" s="123"/>
      <c r="I923" s="123"/>
      <c r="J923" s="123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</row>
    <row r="924">
      <c r="A924" s="122"/>
      <c r="B924" s="122"/>
      <c r="C924" s="122"/>
      <c r="D924" s="122"/>
      <c r="E924" s="122"/>
      <c r="F924" s="123"/>
      <c r="G924" s="123"/>
      <c r="H924" s="123"/>
      <c r="I924" s="123"/>
      <c r="J924" s="123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</row>
    <row r="925">
      <c r="A925" s="122"/>
      <c r="B925" s="122"/>
      <c r="C925" s="122"/>
      <c r="D925" s="122"/>
      <c r="E925" s="122"/>
      <c r="F925" s="123"/>
      <c r="G925" s="123"/>
      <c r="H925" s="123"/>
      <c r="I925" s="123"/>
      <c r="J925" s="123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</row>
    <row r="926">
      <c r="A926" s="122"/>
      <c r="B926" s="122"/>
      <c r="C926" s="122"/>
      <c r="D926" s="122"/>
      <c r="E926" s="122"/>
      <c r="F926" s="123"/>
      <c r="G926" s="123"/>
      <c r="H926" s="123"/>
      <c r="I926" s="123"/>
      <c r="J926" s="123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</row>
    <row r="927">
      <c r="A927" s="122"/>
      <c r="B927" s="122"/>
      <c r="C927" s="122"/>
      <c r="D927" s="122"/>
      <c r="E927" s="122"/>
      <c r="F927" s="123"/>
      <c r="G927" s="123"/>
      <c r="H927" s="123"/>
      <c r="I927" s="123"/>
      <c r="J927" s="123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</row>
    <row r="928">
      <c r="A928" s="122"/>
      <c r="B928" s="122"/>
      <c r="C928" s="122"/>
      <c r="D928" s="122"/>
      <c r="E928" s="122"/>
      <c r="F928" s="123"/>
      <c r="G928" s="123"/>
      <c r="H928" s="123"/>
      <c r="I928" s="123"/>
      <c r="J928" s="123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</row>
    <row r="929">
      <c r="A929" s="122"/>
      <c r="B929" s="122"/>
      <c r="C929" s="122"/>
      <c r="D929" s="122"/>
      <c r="E929" s="122"/>
      <c r="F929" s="123"/>
      <c r="G929" s="123"/>
      <c r="H929" s="123"/>
      <c r="I929" s="123"/>
      <c r="J929" s="123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</row>
    <row r="930">
      <c r="A930" s="122"/>
      <c r="B930" s="122"/>
      <c r="C930" s="122"/>
      <c r="D930" s="122"/>
      <c r="E930" s="122"/>
      <c r="F930" s="123"/>
      <c r="G930" s="123"/>
      <c r="H930" s="123"/>
      <c r="I930" s="123"/>
      <c r="J930" s="123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</row>
    <row r="931">
      <c r="A931" s="122"/>
      <c r="B931" s="122"/>
      <c r="C931" s="122"/>
      <c r="D931" s="122"/>
      <c r="E931" s="122"/>
      <c r="F931" s="123"/>
      <c r="G931" s="123"/>
      <c r="H931" s="123"/>
      <c r="I931" s="123"/>
      <c r="J931" s="123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</row>
    <row r="932">
      <c r="A932" s="122"/>
      <c r="B932" s="122"/>
      <c r="C932" s="122"/>
      <c r="D932" s="122"/>
      <c r="E932" s="122"/>
      <c r="F932" s="123"/>
      <c r="G932" s="123"/>
      <c r="H932" s="123"/>
      <c r="I932" s="123"/>
      <c r="J932" s="123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</row>
    <row r="933">
      <c r="A933" s="122"/>
      <c r="B933" s="122"/>
      <c r="C933" s="122"/>
      <c r="D933" s="122"/>
      <c r="E933" s="122"/>
      <c r="F933" s="123"/>
      <c r="G933" s="123"/>
      <c r="H933" s="123"/>
      <c r="I933" s="123"/>
      <c r="J933" s="123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</row>
    <row r="934">
      <c r="A934" s="122"/>
      <c r="B934" s="122"/>
      <c r="C934" s="122"/>
      <c r="D934" s="122"/>
      <c r="E934" s="122"/>
      <c r="F934" s="123"/>
      <c r="G934" s="123"/>
      <c r="H934" s="123"/>
      <c r="I934" s="123"/>
      <c r="J934" s="123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</row>
    <row r="935">
      <c r="A935" s="122"/>
      <c r="B935" s="122"/>
      <c r="C935" s="122"/>
      <c r="D935" s="122"/>
      <c r="E935" s="122"/>
      <c r="F935" s="123"/>
      <c r="G935" s="123"/>
      <c r="H935" s="123"/>
      <c r="I935" s="123"/>
      <c r="J935" s="123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</row>
    <row r="936">
      <c r="A936" s="122"/>
      <c r="B936" s="122"/>
      <c r="C936" s="122"/>
      <c r="D936" s="122"/>
      <c r="E936" s="122"/>
      <c r="F936" s="123"/>
      <c r="G936" s="123"/>
      <c r="H936" s="123"/>
      <c r="I936" s="123"/>
      <c r="J936" s="123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</row>
    <row r="937">
      <c r="A937" s="122"/>
      <c r="B937" s="122"/>
      <c r="C937" s="122"/>
      <c r="D937" s="122"/>
      <c r="E937" s="122"/>
      <c r="F937" s="123"/>
      <c r="G937" s="123"/>
      <c r="H937" s="123"/>
      <c r="I937" s="123"/>
      <c r="J937" s="123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</row>
    <row r="938">
      <c r="A938" s="122"/>
      <c r="B938" s="122"/>
      <c r="C938" s="122"/>
      <c r="D938" s="122"/>
      <c r="E938" s="122"/>
      <c r="F938" s="123"/>
      <c r="G938" s="123"/>
      <c r="H938" s="123"/>
      <c r="I938" s="123"/>
      <c r="J938" s="123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</row>
    <row r="939">
      <c r="A939" s="122"/>
      <c r="B939" s="122"/>
      <c r="C939" s="122"/>
      <c r="D939" s="122"/>
      <c r="E939" s="122"/>
      <c r="F939" s="123"/>
      <c r="G939" s="123"/>
      <c r="H939" s="123"/>
      <c r="I939" s="123"/>
      <c r="J939" s="123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</row>
    <row r="940">
      <c r="A940" s="122"/>
      <c r="B940" s="122"/>
      <c r="C940" s="122"/>
      <c r="D940" s="122"/>
      <c r="E940" s="122"/>
      <c r="F940" s="123"/>
      <c r="G940" s="123"/>
      <c r="H940" s="123"/>
      <c r="I940" s="123"/>
      <c r="J940" s="123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</row>
    <row r="941">
      <c r="A941" s="122"/>
      <c r="B941" s="122"/>
      <c r="C941" s="122"/>
      <c r="D941" s="122"/>
      <c r="E941" s="122"/>
      <c r="F941" s="123"/>
      <c r="G941" s="123"/>
      <c r="H941" s="123"/>
      <c r="I941" s="123"/>
      <c r="J941" s="123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</row>
    <row r="942">
      <c r="A942" s="122"/>
      <c r="B942" s="122"/>
      <c r="C942" s="122"/>
      <c r="D942" s="122"/>
      <c r="E942" s="122"/>
      <c r="F942" s="123"/>
      <c r="G942" s="123"/>
      <c r="H942" s="123"/>
      <c r="I942" s="123"/>
      <c r="J942" s="123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</row>
    <row r="943">
      <c r="A943" s="122"/>
      <c r="B943" s="122"/>
      <c r="C943" s="122"/>
      <c r="D943" s="122"/>
      <c r="E943" s="122"/>
      <c r="F943" s="123"/>
      <c r="G943" s="123"/>
      <c r="H943" s="123"/>
      <c r="I943" s="123"/>
      <c r="J943" s="123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</row>
    <row r="944">
      <c r="A944" s="122"/>
      <c r="B944" s="122"/>
      <c r="C944" s="122"/>
      <c r="D944" s="122"/>
      <c r="E944" s="122"/>
      <c r="F944" s="123"/>
      <c r="G944" s="123"/>
      <c r="H944" s="123"/>
      <c r="I944" s="123"/>
      <c r="J944" s="123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</row>
    <row r="945">
      <c r="A945" s="122"/>
      <c r="B945" s="122"/>
      <c r="C945" s="122"/>
      <c r="D945" s="122"/>
      <c r="E945" s="122"/>
      <c r="F945" s="123"/>
      <c r="G945" s="123"/>
      <c r="H945" s="123"/>
      <c r="I945" s="123"/>
      <c r="J945" s="123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</row>
    <row r="946">
      <c r="A946" s="122"/>
      <c r="B946" s="122"/>
      <c r="C946" s="122"/>
      <c r="D946" s="122"/>
      <c r="E946" s="122"/>
      <c r="F946" s="123"/>
      <c r="G946" s="123"/>
      <c r="H946" s="123"/>
      <c r="I946" s="123"/>
      <c r="J946" s="123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</row>
    <row r="947">
      <c r="A947" s="122"/>
      <c r="B947" s="122"/>
      <c r="C947" s="122"/>
      <c r="D947" s="122"/>
      <c r="E947" s="122"/>
      <c r="F947" s="123"/>
      <c r="G947" s="123"/>
      <c r="H947" s="123"/>
      <c r="I947" s="123"/>
      <c r="J947" s="123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</row>
    <row r="948">
      <c r="A948" s="122"/>
      <c r="B948" s="122"/>
      <c r="C948" s="122"/>
      <c r="D948" s="122"/>
      <c r="E948" s="122"/>
      <c r="F948" s="123"/>
      <c r="G948" s="123"/>
      <c r="H948" s="123"/>
      <c r="I948" s="123"/>
      <c r="J948" s="123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</row>
    <row r="949">
      <c r="A949" s="122"/>
      <c r="B949" s="122"/>
      <c r="C949" s="122"/>
      <c r="D949" s="122"/>
      <c r="E949" s="122"/>
      <c r="F949" s="123"/>
      <c r="G949" s="123"/>
      <c r="H949" s="123"/>
      <c r="I949" s="123"/>
      <c r="J949" s="123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</row>
    <row r="950">
      <c r="A950" s="122"/>
      <c r="B950" s="122"/>
      <c r="C950" s="122"/>
      <c r="D950" s="122"/>
      <c r="E950" s="122"/>
      <c r="F950" s="123"/>
      <c r="G950" s="123"/>
      <c r="H950" s="123"/>
      <c r="I950" s="123"/>
      <c r="J950" s="123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</row>
    <row r="951">
      <c r="A951" s="122"/>
      <c r="B951" s="122"/>
      <c r="C951" s="122"/>
      <c r="D951" s="122"/>
      <c r="E951" s="122"/>
      <c r="F951" s="123"/>
      <c r="G951" s="123"/>
      <c r="H951" s="123"/>
      <c r="I951" s="123"/>
      <c r="J951" s="123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</row>
    <row r="952">
      <c r="A952" s="122"/>
      <c r="B952" s="122"/>
      <c r="C952" s="122"/>
      <c r="D952" s="122"/>
      <c r="E952" s="122"/>
      <c r="F952" s="123"/>
      <c r="G952" s="123"/>
      <c r="H952" s="123"/>
      <c r="I952" s="123"/>
      <c r="J952" s="123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</row>
    <row r="953">
      <c r="A953" s="122"/>
      <c r="B953" s="122"/>
      <c r="C953" s="122"/>
      <c r="D953" s="122"/>
      <c r="E953" s="122"/>
      <c r="F953" s="123"/>
      <c r="G953" s="123"/>
      <c r="H953" s="123"/>
      <c r="I953" s="123"/>
      <c r="J953" s="123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</row>
    <row r="954">
      <c r="A954" s="122"/>
      <c r="B954" s="122"/>
      <c r="C954" s="122"/>
      <c r="D954" s="122"/>
      <c r="E954" s="122"/>
      <c r="F954" s="123"/>
      <c r="G954" s="123"/>
      <c r="H954" s="123"/>
      <c r="I954" s="123"/>
      <c r="J954" s="123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</row>
    <row r="955">
      <c r="A955" s="122"/>
      <c r="B955" s="122"/>
      <c r="C955" s="122"/>
      <c r="D955" s="122"/>
      <c r="E955" s="122"/>
      <c r="F955" s="123"/>
      <c r="G955" s="123"/>
      <c r="H955" s="123"/>
      <c r="I955" s="123"/>
      <c r="J955" s="123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</row>
    <row r="956">
      <c r="A956" s="122"/>
      <c r="B956" s="122"/>
      <c r="C956" s="122"/>
      <c r="D956" s="122"/>
      <c r="E956" s="122"/>
      <c r="F956" s="123"/>
      <c r="G956" s="123"/>
      <c r="H956" s="123"/>
      <c r="I956" s="123"/>
      <c r="J956" s="123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</row>
    <row r="957">
      <c r="A957" s="122"/>
      <c r="B957" s="122"/>
      <c r="C957" s="122"/>
      <c r="D957" s="122"/>
      <c r="E957" s="122"/>
      <c r="F957" s="123"/>
      <c r="G957" s="123"/>
      <c r="H957" s="123"/>
      <c r="I957" s="123"/>
      <c r="J957" s="123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</row>
    <row r="958">
      <c r="A958" s="122"/>
      <c r="B958" s="122"/>
      <c r="C958" s="122"/>
      <c r="D958" s="122"/>
      <c r="E958" s="122"/>
      <c r="F958" s="123"/>
      <c r="G958" s="123"/>
      <c r="H958" s="123"/>
      <c r="I958" s="123"/>
      <c r="J958" s="123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</row>
    <row r="959">
      <c r="A959" s="122"/>
      <c r="B959" s="122"/>
      <c r="C959" s="122"/>
      <c r="D959" s="122"/>
      <c r="E959" s="122"/>
      <c r="F959" s="123"/>
      <c r="G959" s="123"/>
      <c r="H959" s="123"/>
      <c r="I959" s="123"/>
      <c r="J959" s="123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</row>
    <row r="960">
      <c r="A960" s="122"/>
      <c r="B960" s="122"/>
      <c r="C960" s="122"/>
      <c r="D960" s="122"/>
      <c r="E960" s="122"/>
      <c r="F960" s="123"/>
      <c r="G960" s="123"/>
      <c r="H960" s="123"/>
      <c r="I960" s="123"/>
      <c r="J960" s="123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</row>
    <row r="961">
      <c r="A961" s="122"/>
      <c r="B961" s="122"/>
      <c r="C961" s="122"/>
      <c r="D961" s="122"/>
      <c r="E961" s="122"/>
      <c r="F961" s="123"/>
      <c r="G961" s="123"/>
      <c r="H961" s="123"/>
      <c r="I961" s="123"/>
      <c r="J961" s="123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</row>
    <row r="962">
      <c r="A962" s="122"/>
      <c r="B962" s="122"/>
      <c r="C962" s="122"/>
      <c r="D962" s="122"/>
      <c r="E962" s="122"/>
      <c r="F962" s="123"/>
      <c r="G962" s="123"/>
      <c r="H962" s="123"/>
      <c r="I962" s="123"/>
      <c r="J962" s="123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</row>
    <row r="963">
      <c r="A963" s="122"/>
      <c r="B963" s="122"/>
      <c r="C963" s="122"/>
      <c r="D963" s="122"/>
      <c r="E963" s="122"/>
      <c r="F963" s="123"/>
      <c r="G963" s="123"/>
      <c r="H963" s="123"/>
      <c r="I963" s="123"/>
      <c r="J963" s="123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</row>
    <row r="964">
      <c r="A964" s="122"/>
      <c r="B964" s="122"/>
      <c r="C964" s="122"/>
      <c r="D964" s="122"/>
      <c r="E964" s="122"/>
      <c r="F964" s="123"/>
      <c r="G964" s="123"/>
      <c r="H964" s="123"/>
      <c r="I964" s="123"/>
      <c r="J964" s="123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</row>
    <row r="965">
      <c r="A965" s="122"/>
      <c r="B965" s="122"/>
      <c r="C965" s="122"/>
      <c r="D965" s="122"/>
      <c r="E965" s="122"/>
      <c r="F965" s="123"/>
      <c r="G965" s="123"/>
      <c r="H965" s="123"/>
      <c r="I965" s="123"/>
      <c r="J965" s="123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</row>
    <row r="966">
      <c r="A966" s="122"/>
      <c r="B966" s="122"/>
      <c r="C966" s="122"/>
      <c r="D966" s="122"/>
      <c r="E966" s="122"/>
      <c r="F966" s="123"/>
      <c r="G966" s="123"/>
      <c r="H966" s="123"/>
      <c r="I966" s="123"/>
      <c r="J966" s="123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</row>
    <row r="967">
      <c r="A967" s="122"/>
      <c r="B967" s="122"/>
      <c r="C967" s="122"/>
      <c r="D967" s="122"/>
      <c r="E967" s="122"/>
      <c r="F967" s="123"/>
      <c r="G967" s="123"/>
      <c r="H967" s="123"/>
      <c r="I967" s="123"/>
      <c r="J967" s="123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</row>
    <row r="968">
      <c r="A968" s="122"/>
      <c r="B968" s="122"/>
      <c r="C968" s="122"/>
      <c r="D968" s="122"/>
      <c r="E968" s="122"/>
      <c r="F968" s="123"/>
      <c r="G968" s="123"/>
      <c r="H968" s="123"/>
      <c r="I968" s="123"/>
      <c r="J968" s="123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</row>
    <row r="969">
      <c r="A969" s="122"/>
      <c r="B969" s="122"/>
      <c r="C969" s="122"/>
      <c r="D969" s="122"/>
      <c r="E969" s="122"/>
      <c r="F969" s="123"/>
      <c r="G969" s="123"/>
      <c r="H969" s="123"/>
      <c r="I969" s="123"/>
      <c r="J969" s="123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</row>
    <row r="970">
      <c r="A970" s="122"/>
      <c r="B970" s="122"/>
      <c r="C970" s="122"/>
      <c r="D970" s="122"/>
      <c r="E970" s="122"/>
      <c r="F970" s="123"/>
      <c r="G970" s="123"/>
      <c r="H970" s="123"/>
      <c r="I970" s="123"/>
      <c r="J970" s="123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</row>
    <row r="971">
      <c r="A971" s="122"/>
      <c r="B971" s="122"/>
      <c r="C971" s="122"/>
      <c r="D971" s="122"/>
      <c r="E971" s="122"/>
      <c r="F971" s="123"/>
      <c r="G971" s="123"/>
      <c r="H971" s="123"/>
      <c r="I971" s="123"/>
      <c r="J971" s="123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</row>
    <row r="972">
      <c r="A972" s="122"/>
      <c r="B972" s="122"/>
      <c r="C972" s="122"/>
      <c r="D972" s="122"/>
      <c r="E972" s="122"/>
      <c r="F972" s="123"/>
      <c r="G972" s="123"/>
      <c r="H972" s="123"/>
      <c r="I972" s="123"/>
      <c r="J972" s="123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</row>
    <row r="973">
      <c r="A973" s="122"/>
      <c r="B973" s="122"/>
      <c r="C973" s="122"/>
      <c r="D973" s="122"/>
      <c r="E973" s="122"/>
      <c r="F973" s="123"/>
      <c r="G973" s="123"/>
      <c r="H973" s="123"/>
      <c r="I973" s="123"/>
      <c r="J973" s="123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</row>
    <row r="974">
      <c r="A974" s="122"/>
      <c r="B974" s="122"/>
      <c r="C974" s="122"/>
      <c r="D974" s="122"/>
      <c r="E974" s="122"/>
      <c r="F974" s="123"/>
      <c r="G974" s="123"/>
      <c r="H974" s="123"/>
      <c r="I974" s="123"/>
      <c r="J974" s="123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</row>
    <row r="975">
      <c r="A975" s="122"/>
      <c r="B975" s="122"/>
      <c r="C975" s="122"/>
      <c r="D975" s="122"/>
      <c r="E975" s="122"/>
      <c r="F975" s="123"/>
      <c r="G975" s="123"/>
      <c r="H975" s="123"/>
      <c r="I975" s="123"/>
      <c r="J975" s="123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</row>
    <row r="976">
      <c r="A976" s="122"/>
      <c r="B976" s="122"/>
      <c r="C976" s="122"/>
      <c r="D976" s="122"/>
      <c r="E976" s="122"/>
      <c r="F976" s="123"/>
      <c r="G976" s="123"/>
      <c r="H976" s="123"/>
      <c r="I976" s="123"/>
      <c r="J976" s="123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</row>
    <row r="977">
      <c r="A977" s="122"/>
      <c r="B977" s="122"/>
      <c r="C977" s="122"/>
      <c r="D977" s="122"/>
      <c r="E977" s="122"/>
      <c r="F977" s="123"/>
      <c r="G977" s="123"/>
      <c r="H977" s="123"/>
      <c r="I977" s="123"/>
      <c r="J977" s="123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</row>
    <row r="978">
      <c r="A978" s="122"/>
      <c r="B978" s="122"/>
      <c r="C978" s="122"/>
      <c r="D978" s="122"/>
      <c r="E978" s="122"/>
      <c r="F978" s="123"/>
      <c r="G978" s="123"/>
      <c r="H978" s="123"/>
      <c r="I978" s="123"/>
      <c r="J978" s="123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</row>
    <row r="979">
      <c r="A979" s="122"/>
      <c r="B979" s="122"/>
      <c r="C979" s="122"/>
      <c r="D979" s="122"/>
      <c r="E979" s="122"/>
      <c r="F979" s="123"/>
      <c r="G979" s="123"/>
      <c r="H979" s="123"/>
      <c r="I979" s="123"/>
      <c r="J979" s="123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</row>
    <row r="980">
      <c r="A980" s="122"/>
      <c r="B980" s="122"/>
      <c r="C980" s="122"/>
      <c r="D980" s="122"/>
      <c r="E980" s="122"/>
      <c r="F980" s="123"/>
      <c r="G980" s="123"/>
      <c r="H980" s="123"/>
      <c r="I980" s="123"/>
      <c r="J980" s="123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</row>
    <row r="981">
      <c r="A981" s="122"/>
      <c r="B981" s="122"/>
      <c r="C981" s="122"/>
      <c r="D981" s="122"/>
      <c r="E981" s="122"/>
      <c r="F981" s="123"/>
      <c r="G981" s="123"/>
      <c r="H981" s="123"/>
      <c r="I981" s="123"/>
      <c r="J981" s="123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</row>
    <row r="982">
      <c r="A982" s="122"/>
      <c r="B982" s="122"/>
      <c r="C982" s="122"/>
      <c r="D982" s="122"/>
      <c r="E982" s="122"/>
      <c r="F982" s="123"/>
      <c r="G982" s="123"/>
      <c r="H982" s="123"/>
      <c r="I982" s="123"/>
      <c r="J982" s="123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</row>
    <row r="983">
      <c r="A983" s="122"/>
      <c r="B983" s="122"/>
      <c r="C983" s="122"/>
      <c r="D983" s="122"/>
      <c r="E983" s="122"/>
      <c r="F983" s="123"/>
      <c r="G983" s="123"/>
      <c r="H983" s="123"/>
      <c r="I983" s="123"/>
      <c r="J983" s="123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</row>
    <row r="984">
      <c r="A984" s="122"/>
      <c r="B984" s="122"/>
      <c r="C984" s="122"/>
      <c r="D984" s="122"/>
      <c r="E984" s="122"/>
      <c r="F984" s="123"/>
      <c r="G984" s="123"/>
      <c r="H984" s="123"/>
      <c r="I984" s="123"/>
      <c r="J984" s="123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</row>
    <row r="985">
      <c r="A985" s="122"/>
      <c r="B985" s="122"/>
      <c r="C985" s="122"/>
      <c r="D985" s="122"/>
      <c r="E985" s="122"/>
      <c r="F985" s="123"/>
      <c r="G985" s="123"/>
      <c r="H985" s="123"/>
      <c r="I985" s="123"/>
      <c r="J985" s="123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</row>
    <row r="986">
      <c r="A986" s="122"/>
      <c r="B986" s="122"/>
      <c r="C986" s="122"/>
      <c r="D986" s="122"/>
      <c r="E986" s="122"/>
      <c r="F986" s="123"/>
      <c r="G986" s="123"/>
      <c r="H986" s="123"/>
      <c r="I986" s="123"/>
      <c r="J986" s="123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</row>
    <row r="987">
      <c r="A987" s="122"/>
      <c r="B987" s="122"/>
      <c r="C987" s="122"/>
      <c r="D987" s="122"/>
      <c r="E987" s="122"/>
      <c r="F987" s="123"/>
      <c r="G987" s="123"/>
      <c r="H987" s="123"/>
      <c r="I987" s="123"/>
      <c r="J987" s="123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</row>
    <row r="988">
      <c r="A988" s="122"/>
      <c r="B988" s="122"/>
      <c r="C988" s="122"/>
      <c r="D988" s="122"/>
      <c r="E988" s="122"/>
      <c r="F988" s="123"/>
      <c r="G988" s="123"/>
      <c r="H988" s="123"/>
      <c r="I988" s="123"/>
      <c r="J988" s="123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</row>
    <row r="989">
      <c r="A989" s="122"/>
      <c r="B989" s="122"/>
      <c r="C989" s="122"/>
      <c r="D989" s="122"/>
      <c r="E989" s="122"/>
      <c r="F989" s="123"/>
      <c r="G989" s="123"/>
      <c r="H989" s="123"/>
      <c r="I989" s="123"/>
      <c r="J989" s="123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</row>
    <row r="990">
      <c r="A990" s="122"/>
      <c r="B990" s="122"/>
      <c r="C990" s="122"/>
      <c r="D990" s="122"/>
      <c r="E990" s="122"/>
      <c r="F990" s="123"/>
      <c r="G990" s="123"/>
      <c r="H990" s="123"/>
      <c r="I990" s="123"/>
      <c r="J990" s="123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</row>
    <row r="991">
      <c r="A991" s="122"/>
      <c r="B991" s="122"/>
      <c r="C991" s="122"/>
      <c r="D991" s="122"/>
      <c r="E991" s="122"/>
      <c r="F991" s="123"/>
      <c r="G991" s="123"/>
      <c r="H991" s="123"/>
      <c r="I991" s="123"/>
      <c r="J991" s="123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</row>
    <row r="992">
      <c r="A992" s="122"/>
      <c r="B992" s="122"/>
      <c r="C992" s="122"/>
      <c r="D992" s="122"/>
      <c r="E992" s="122"/>
      <c r="F992" s="123"/>
      <c r="G992" s="123"/>
      <c r="H992" s="123"/>
      <c r="I992" s="123"/>
      <c r="J992" s="123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</row>
    <row r="993">
      <c r="A993" s="122"/>
      <c r="B993" s="122"/>
      <c r="C993" s="122"/>
      <c r="D993" s="122"/>
      <c r="E993" s="122"/>
      <c r="F993" s="123"/>
      <c r="G993" s="123"/>
      <c r="H993" s="123"/>
      <c r="I993" s="123"/>
      <c r="J993" s="123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</row>
    <row r="994">
      <c r="A994" s="122"/>
      <c r="B994" s="122"/>
      <c r="C994" s="122"/>
      <c r="D994" s="122"/>
      <c r="E994" s="122"/>
      <c r="F994" s="123"/>
      <c r="G994" s="123"/>
      <c r="H994" s="123"/>
      <c r="I994" s="123"/>
      <c r="J994" s="123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</row>
    <row r="995">
      <c r="A995" s="122"/>
      <c r="B995" s="122"/>
      <c r="C995" s="122"/>
      <c r="D995" s="122"/>
      <c r="E995" s="122"/>
      <c r="F995" s="123"/>
      <c r="G995" s="123"/>
      <c r="H995" s="123"/>
      <c r="I995" s="123"/>
      <c r="J995" s="123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</row>
    <row r="996">
      <c r="A996" s="122"/>
      <c r="B996" s="122"/>
      <c r="C996" s="122"/>
      <c r="D996" s="122"/>
      <c r="E996" s="122"/>
      <c r="F996" s="123"/>
      <c r="G996" s="123"/>
      <c r="H996" s="123"/>
      <c r="I996" s="123"/>
      <c r="J996" s="123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  <c r="AE996" s="122"/>
    </row>
    <row r="997">
      <c r="A997" s="122"/>
      <c r="B997" s="122"/>
      <c r="C997" s="122"/>
      <c r="D997" s="122"/>
      <c r="E997" s="122"/>
      <c r="F997" s="123"/>
      <c r="G997" s="123"/>
      <c r="H997" s="123"/>
      <c r="I997" s="123"/>
      <c r="J997" s="123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</row>
    <row r="998">
      <c r="A998" s="122"/>
      <c r="B998" s="122"/>
      <c r="C998" s="122"/>
      <c r="D998" s="122"/>
      <c r="E998" s="122"/>
      <c r="F998" s="123"/>
      <c r="G998" s="123"/>
      <c r="H998" s="123"/>
      <c r="I998" s="123"/>
      <c r="J998" s="123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  <c r="AE998" s="122"/>
    </row>
    <row r="999">
      <c r="A999" s="122"/>
      <c r="B999" s="122"/>
      <c r="C999" s="122"/>
      <c r="D999" s="122"/>
      <c r="E999" s="122"/>
      <c r="F999" s="123"/>
      <c r="G999" s="123"/>
      <c r="H999" s="123"/>
      <c r="I999" s="123"/>
      <c r="J999" s="123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  <c r="AE999" s="122"/>
    </row>
    <row r="1000">
      <c r="A1000" s="122"/>
      <c r="B1000" s="122"/>
      <c r="C1000" s="122"/>
      <c r="D1000" s="122"/>
      <c r="E1000" s="122"/>
      <c r="F1000" s="123"/>
      <c r="G1000" s="123"/>
      <c r="H1000" s="123"/>
      <c r="I1000" s="123"/>
      <c r="J1000" s="123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  <c r="AE1000" s="122"/>
    </row>
    <row r="1001">
      <c r="A1001" s="122"/>
      <c r="B1001" s="122"/>
      <c r="C1001" s="122"/>
      <c r="D1001" s="122"/>
      <c r="E1001" s="122"/>
      <c r="F1001" s="123"/>
      <c r="G1001" s="123"/>
      <c r="H1001" s="123"/>
      <c r="I1001" s="123"/>
      <c r="J1001" s="123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  <c r="AE1001" s="122"/>
    </row>
    <row r="1002">
      <c r="A1002" s="122"/>
      <c r="B1002" s="122"/>
      <c r="C1002" s="122"/>
      <c r="D1002" s="122"/>
      <c r="E1002" s="122"/>
      <c r="F1002" s="123"/>
      <c r="G1002" s="123"/>
      <c r="H1002" s="123"/>
      <c r="I1002" s="123"/>
      <c r="J1002" s="123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  <c r="AE1002" s="122"/>
    </row>
    <row r="1003">
      <c r="A1003" s="122"/>
      <c r="B1003" s="122"/>
      <c r="C1003" s="122"/>
      <c r="D1003" s="122"/>
      <c r="E1003" s="122"/>
      <c r="F1003" s="123"/>
      <c r="G1003" s="123"/>
      <c r="H1003" s="123"/>
      <c r="I1003" s="123"/>
      <c r="J1003" s="123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  <c r="AE1003" s="122"/>
    </row>
    <row r="1004">
      <c r="A1004" s="122"/>
      <c r="B1004" s="122"/>
      <c r="C1004" s="122"/>
      <c r="D1004" s="122"/>
      <c r="E1004" s="122"/>
      <c r="F1004" s="123"/>
      <c r="G1004" s="123"/>
      <c r="H1004" s="123"/>
      <c r="I1004" s="123"/>
      <c r="J1004" s="123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  <c r="AE1004" s="122"/>
    </row>
    <row r="1005">
      <c r="A1005" s="122"/>
      <c r="B1005" s="122"/>
      <c r="C1005" s="122"/>
      <c r="D1005" s="122"/>
      <c r="E1005" s="122"/>
      <c r="F1005" s="123"/>
      <c r="G1005" s="123"/>
      <c r="H1005" s="123"/>
      <c r="I1005" s="123"/>
      <c r="J1005" s="123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  <c r="AE1005" s="122"/>
    </row>
    <row r="1006">
      <c r="A1006" s="122"/>
      <c r="B1006" s="122"/>
      <c r="C1006" s="122"/>
      <c r="D1006" s="122"/>
      <c r="E1006" s="122"/>
      <c r="F1006" s="123"/>
      <c r="G1006" s="123"/>
      <c r="H1006" s="123"/>
      <c r="I1006" s="123"/>
      <c r="J1006" s="123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  <c r="AE1006" s="122"/>
    </row>
    <row r="1007">
      <c r="A1007" s="122"/>
      <c r="B1007" s="122"/>
      <c r="C1007" s="122"/>
      <c r="D1007" s="122"/>
      <c r="E1007" s="122"/>
      <c r="F1007" s="123"/>
      <c r="G1007" s="123"/>
      <c r="H1007" s="123"/>
      <c r="I1007" s="123"/>
      <c r="J1007" s="123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  <c r="AE1007" s="122"/>
    </row>
    <row r="1008">
      <c r="A1008" s="122"/>
      <c r="B1008" s="122"/>
      <c r="C1008" s="122"/>
      <c r="D1008" s="122"/>
      <c r="E1008" s="122"/>
      <c r="F1008" s="123"/>
      <c r="G1008" s="123"/>
      <c r="H1008" s="123"/>
      <c r="I1008" s="123"/>
      <c r="J1008" s="123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  <c r="AE1008" s="122"/>
    </row>
    <row r="1009">
      <c r="A1009" s="122"/>
      <c r="B1009" s="122"/>
      <c r="C1009" s="122"/>
      <c r="D1009" s="122"/>
      <c r="E1009" s="122"/>
      <c r="F1009" s="123"/>
      <c r="G1009" s="123"/>
      <c r="H1009" s="123"/>
      <c r="I1009" s="123"/>
      <c r="J1009" s="123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2"/>
      <c r="AE1009" s="122"/>
    </row>
    <row r="1010">
      <c r="A1010" s="122"/>
      <c r="B1010" s="122"/>
      <c r="C1010" s="122"/>
      <c r="D1010" s="122"/>
      <c r="E1010" s="122"/>
      <c r="F1010" s="123"/>
      <c r="G1010" s="123"/>
      <c r="H1010" s="123"/>
      <c r="I1010" s="123"/>
      <c r="J1010" s="123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  <c r="AE1010" s="122"/>
    </row>
    <row r="1011">
      <c r="A1011" s="122"/>
      <c r="B1011" s="122"/>
      <c r="C1011" s="122"/>
      <c r="D1011" s="122"/>
      <c r="E1011" s="122"/>
      <c r="F1011" s="123"/>
      <c r="G1011" s="123"/>
      <c r="H1011" s="123"/>
      <c r="I1011" s="123"/>
      <c r="J1011" s="123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  <c r="AE1011" s="122"/>
    </row>
    <row r="1012">
      <c r="A1012" s="122"/>
      <c r="B1012" s="122"/>
      <c r="C1012" s="122"/>
      <c r="D1012" s="122"/>
      <c r="E1012" s="122"/>
      <c r="F1012" s="123"/>
      <c r="G1012" s="123"/>
      <c r="H1012" s="123"/>
      <c r="I1012" s="123"/>
      <c r="J1012" s="123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  <c r="AD1012" s="122"/>
      <c r="AE1012" s="122"/>
    </row>
    <row r="1013">
      <c r="A1013" s="122"/>
      <c r="B1013" s="122"/>
      <c r="C1013" s="122"/>
      <c r="D1013" s="122"/>
      <c r="E1013" s="122"/>
      <c r="F1013" s="123"/>
      <c r="G1013" s="123"/>
      <c r="H1013" s="123"/>
      <c r="I1013" s="123"/>
      <c r="J1013" s="123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  <c r="AD1013" s="122"/>
      <c r="AE1013" s="122"/>
    </row>
    <row r="1014">
      <c r="A1014" s="122"/>
      <c r="B1014" s="122"/>
      <c r="C1014" s="122"/>
      <c r="D1014" s="122"/>
      <c r="E1014" s="122"/>
      <c r="F1014" s="123"/>
      <c r="G1014" s="123"/>
      <c r="H1014" s="123"/>
      <c r="I1014" s="123"/>
      <c r="J1014" s="123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  <c r="AA1014" s="122"/>
      <c r="AB1014" s="122"/>
      <c r="AC1014" s="122"/>
      <c r="AD1014" s="122"/>
      <c r="AE1014" s="122"/>
    </row>
    <row r="1015">
      <c r="A1015" s="122"/>
      <c r="B1015" s="122"/>
      <c r="C1015" s="122"/>
      <c r="D1015" s="122"/>
      <c r="E1015" s="122"/>
      <c r="F1015" s="123"/>
      <c r="G1015" s="123"/>
      <c r="H1015" s="123"/>
      <c r="I1015" s="123"/>
      <c r="J1015" s="123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  <c r="AA1015" s="122"/>
      <c r="AB1015" s="122"/>
      <c r="AC1015" s="122"/>
      <c r="AD1015" s="122"/>
      <c r="AE1015" s="122"/>
    </row>
    <row r="1016">
      <c r="A1016" s="122"/>
      <c r="B1016" s="122"/>
      <c r="C1016" s="122"/>
      <c r="D1016" s="122"/>
      <c r="E1016" s="122"/>
      <c r="F1016" s="123"/>
      <c r="G1016" s="123"/>
      <c r="H1016" s="123"/>
      <c r="I1016" s="123"/>
      <c r="J1016" s="123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  <c r="AA1016" s="122"/>
      <c r="AB1016" s="122"/>
      <c r="AC1016" s="122"/>
      <c r="AD1016" s="122"/>
      <c r="AE1016" s="122"/>
    </row>
    <row r="1017">
      <c r="A1017" s="122"/>
      <c r="B1017" s="122"/>
      <c r="C1017" s="122"/>
      <c r="D1017" s="122"/>
      <c r="E1017" s="122"/>
      <c r="F1017" s="123"/>
      <c r="G1017" s="123"/>
      <c r="H1017" s="123"/>
      <c r="I1017" s="123"/>
      <c r="J1017" s="123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  <c r="AA1017" s="122"/>
      <c r="AB1017" s="122"/>
      <c r="AC1017" s="122"/>
      <c r="AD1017" s="122"/>
      <c r="AE1017" s="122"/>
    </row>
    <row r="1018">
      <c r="A1018" s="122"/>
      <c r="B1018" s="122"/>
      <c r="C1018" s="122"/>
      <c r="D1018" s="122"/>
      <c r="E1018" s="122"/>
      <c r="F1018" s="123"/>
      <c r="G1018" s="123"/>
      <c r="H1018" s="123"/>
      <c r="I1018" s="123"/>
      <c r="J1018" s="123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  <c r="AA1018" s="122"/>
      <c r="AB1018" s="122"/>
      <c r="AC1018" s="122"/>
      <c r="AD1018" s="122"/>
      <c r="AE1018" s="122"/>
    </row>
    <row r="1019">
      <c r="A1019" s="122"/>
      <c r="B1019" s="122"/>
      <c r="C1019" s="122"/>
      <c r="D1019" s="122"/>
      <c r="E1019" s="122"/>
      <c r="F1019" s="123"/>
      <c r="G1019" s="123"/>
      <c r="H1019" s="123"/>
      <c r="I1019" s="123"/>
      <c r="J1019" s="123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2"/>
      <c r="Y1019" s="122"/>
      <c r="Z1019" s="122"/>
      <c r="AA1019" s="122"/>
      <c r="AB1019" s="122"/>
      <c r="AC1019" s="122"/>
      <c r="AD1019" s="122"/>
      <c r="AE1019" s="122"/>
    </row>
    <row r="1020">
      <c r="A1020" s="122"/>
      <c r="B1020" s="122"/>
      <c r="C1020" s="122"/>
      <c r="D1020" s="122"/>
      <c r="E1020" s="122"/>
      <c r="F1020" s="123"/>
      <c r="G1020" s="123"/>
      <c r="H1020" s="123"/>
      <c r="I1020" s="123"/>
      <c r="J1020" s="123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2"/>
      <c r="Y1020" s="122"/>
      <c r="Z1020" s="122"/>
      <c r="AA1020" s="122"/>
      <c r="AB1020" s="122"/>
      <c r="AC1020" s="122"/>
      <c r="AD1020" s="122"/>
      <c r="AE1020" s="122"/>
    </row>
    <row r="1021">
      <c r="A1021" s="122"/>
      <c r="B1021" s="122"/>
      <c r="C1021" s="122"/>
      <c r="D1021" s="122"/>
      <c r="E1021" s="122"/>
      <c r="F1021" s="123"/>
      <c r="G1021" s="123"/>
      <c r="H1021" s="123"/>
      <c r="I1021" s="123"/>
      <c r="J1021" s="123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2"/>
      <c r="Y1021" s="122"/>
      <c r="Z1021" s="122"/>
      <c r="AA1021" s="122"/>
      <c r="AB1021" s="122"/>
      <c r="AC1021" s="122"/>
      <c r="AD1021" s="122"/>
      <c r="AE1021" s="122"/>
    </row>
    <row r="1022">
      <c r="A1022" s="122"/>
      <c r="B1022" s="122"/>
      <c r="C1022" s="122"/>
      <c r="D1022" s="122"/>
      <c r="E1022" s="122"/>
      <c r="F1022" s="123"/>
      <c r="G1022" s="123"/>
      <c r="H1022" s="123"/>
      <c r="I1022" s="123"/>
      <c r="J1022" s="123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2"/>
      <c r="Y1022" s="122"/>
      <c r="Z1022" s="122"/>
      <c r="AA1022" s="122"/>
      <c r="AB1022" s="122"/>
      <c r="AC1022" s="122"/>
      <c r="AD1022" s="122"/>
      <c r="AE1022" s="122"/>
    </row>
    <row r="1023">
      <c r="A1023" s="122"/>
      <c r="B1023" s="122"/>
      <c r="C1023" s="122"/>
      <c r="D1023" s="122"/>
      <c r="E1023" s="122"/>
      <c r="F1023" s="123"/>
      <c r="G1023" s="123"/>
      <c r="H1023" s="123"/>
      <c r="I1023" s="123"/>
      <c r="J1023" s="123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2"/>
      <c r="Y1023" s="122"/>
      <c r="Z1023" s="122"/>
      <c r="AA1023" s="122"/>
      <c r="AB1023" s="122"/>
      <c r="AC1023" s="122"/>
      <c r="AD1023" s="122"/>
      <c r="AE1023" s="122"/>
    </row>
    <row r="1024">
      <c r="A1024" s="122"/>
      <c r="B1024" s="122"/>
      <c r="C1024" s="122"/>
      <c r="D1024" s="122"/>
      <c r="E1024" s="122"/>
      <c r="F1024" s="123"/>
      <c r="G1024" s="123"/>
      <c r="H1024" s="123"/>
      <c r="I1024" s="123"/>
      <c r="J1024" s="123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2"/>
      <c r="Y1024" s="122"/>
      <c r="Z1024" s="122"/>
      <c r="AA1024" s="122"/>
      <c r="AB1024" s="122"/>
      <c r="AC1024" s="122"/>
      <c r="AD1024" s="122"/>
      <c r="AE1024" s="122"/>
    </row>
    <row r="1025">
      <c r="A1025" s="122"/>
      <c r="B1025" s="122"/>
      <c r="C1025" s="122"/>
      <c r="D1025" s="122"/>
      <c r="E1025" s="122"/>
      <c r="F1025" s="123"/>
      <c r="G1025" s="123"/>
      <c r="H1025" s="123"/>
      <c r="I1025" s="123"/>
      <c r="J1025" s="123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2"/>
      <c r="Y1025" s="122"/>
      <c r="Z1025" s="122"/>
      <c r="AA1025" s="122"/>
      <c r="AB1025" s="122"/>
      <c r="AC1025" s="122"/>
      <c r="AD1025" s="122"/>
      <c r="AE1025" s="122"/>
    </row>
    <row r="1026">
      <c r="A1026" s="122"/>
      <c r="B1026" s="122"/>
      <c r="C1026" s="122"/>
      <c r="D1026" s="122"/>
      <c r="E1026" s="122"/>
      <c r="F1026" s="123"/>
      <c r="G1026" s="123"/>
      <c r="H1026" s="123"/>
      <c r="I1026" s="123"/>
      <c r="J1026" s="123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2"/>
      <c r="Y1026" s="122"/>
      <c r="Z1026" s="122"/>
      <c r="AA1026" s="122"/>
      <c r="AB1026" s="122"/>
      <c r="AC1026" s="122"/>
      <c r="AD1026" s="122"/>
      <c r="AE1026" s="122"/>
    </row>
    <row r="1027">
      <c r="A1027" s="122"/>
      <c r="B1027" s="122"/>
      <c r="C1027" s="122"/>
      <c r="D1027" s="122"/>
      <c r="E1027" s="122"/>
      <c r="F1027" s="123"/>
      <c r="G1027" s="123"/>
      <c r="H1027" s="123"/>
      <c r="I1027" s="123"/>
      <c r="J1027" s="123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2"/>
      <c r="Y1027" s="122"/>
      <c r="Z1027" s="122"/>
      <c r="AA1027" s="122"/>
      <c r="AB1027" s="122"/>
      <c r="AC1027" s="122"/>
      <c r="AD1027" s="122"/>
      <c r="AE1027" s="122"/>
    </row>
    <row r="1028">
      <c r="A1028" s="122"/>
      <c r="B1028" s="122"/>
      <c r="C1028" s="122"/>
      <c r="D1028" s="122"/>
      <c r="E1028" s="122"/>
      <c r="F1028" s="123"/>
      <c r="G1028" s="123"/>
      <c r="H1028" s="123"/>
      <c r="I1028" s="123"/>
      <c r="J1028" s="123"/>
      <c r="K1028" s="122"/>
      <c r="L1028" s="122"/>
      <c r="M1028" s="122"/>
      <c r="N1028" s="122"/>
      <c r="O1028" s="122"/>
      <c r="P1028" s="122"/>
      <c r="Q1028" s="122"/>
      <c r="R1028" s="122"/>
      <c r="S1028" s="122"/>
      <c r="T1028" s="122"/>
      <c r="U1028" s="122"/>
      <c r="V1028" s="122"/>
      <c r="W1028" s="122"/>
      <c r="X1028" s="122"/>
      <c r="Y1028" s="122"/>
      <c r="Z1028" s="122"/>
      <c r="AA1028" s="122"/>
      <c r="AB1028" s="122"/>
      <c r="AC1028" s="122"/>
      <c r="AD1028" s="122"/>
      <c r="AE1028" s="122"/>
    </row>
    <row r="1029">
      <c r="A1029" s="122"/>
      <c r="B1029" s="122"/>
      <c r="C1029" s="122"/>
      <c r="D1029" s="122"/>
      <c r="E1029" s="122"/>
      <c r="F1029" s="123"/>
      <c r="G1029" s="123"/>
      <c r="H1029" s="123"/>
      <c r="I1029" s="123"/>
      <c r="J1029" s="123"/>
      <c r="K1029" s="122"/>
      <c r="L1029" s="122"/>
      <c r="M1029" s="122"/>
      <c r="N1029" s="122"/>
      <c r="O1029" s="122"/>
      <c r="P1029" s="122"/>
      <c r="Q1029" s="122"/>
      <c r="R1029" s="122"/>
      <c r="S1029" s="122"/>
      <c r="T1029" s="122"/>
      <c r="U1029" s="122"/>
      <c r="V1029" s="122"/>
      <c r="W1029" s="122"/>
      <c r="X1029" s="122"/>
      <c r="Y1029" s="122"/>
      <c r="Z1029" s="122"/>
      <c r="AA1029" s="122"/>
      <c r="AB1029" s="122"/>
      <c r="AC1029" s="122"/>
      <c r="AD1029" s="122"/>
      <c r="AE1029" s="122"/>
    </row>
    <row r="1030">
      <c r="A1030" s="122"/>
      <c r="B1030" s="122"/>
      <c r="C1030" s="122"/>
      <c r="D1030" s="122"/>
      <c r="E1030" s="122"/>
      <c r="F1030" s="123"/>
      <c r="G1030" s="123"/>
      <c r="H1030" s="123"/>
      <c r="I1030" s="123"/>
      <c r="J1030" s="123"/>
      <c r="K1030" s="122"/>
      <c r="L1030" s="122"/>
      <c r="M1030" s="122"/>
      <c r="N1030" s="122"/>
      <c r="O1030" s="122"/>
      <c r="P1030" s="122"/>
      <c r="Q1030" s="122"/>
      <c r="R1030" s="122"/>
      <c r="S1030" s="122"/>
      <c r="T1030" s="122"/>
      <c r="U1030" s="122"/>
      <c r="V1030" s="122"/>
      <c r="W1030" s="122"/>
      <c r="X1030" s="122"/>
      <c r="Y1030" s="122"/>
      <c r="Z1030" s="122"/>
      <c r="AA1030" s="122"/>
      <c r="AB1030" s="122"/>
      <c r="AC1030" s="122"/>
      <c r="AD1030" s="122"/>
      <c r="AE1030" s="122"/>
    </row>
    <row r="1031">
      <c r="A1031" s="122"/>
      <c r="B1031" s="122"/>
      <c r="C1031" s="122"/>
      <c r="D1031" s="122"/>
      <c r="E1031" s="122"/>
      <c r="F1031" s="123"/>
      <c r="G1031" s="123"/>
      <c r="H1031" s="123"/>
      <c r="I1031" s="123"/>
      <c r="J1031" s="123"/>
      <c r="K1031" s="122"/>
      <c r="L1031" s="122"/>
      <c r="M1031" s="122"/>
      <c r="N1031" s="122"/>
      <c r="O1031" s="122"/>
      <c r="P1031" s="122"/>
      <c r="Q1031" s="122"/>
      <c r="R1031" s="122"/>
      <c r="S1031" s="122"/>
      <c r="T1031" s="122"/>
      <c r="U1031" s="122"/>
      <c r="V1031" s="122"/>
      <c r="W1031" s="122"/>
      <c r="X1031" s="122"/>
      <c r="Y1031" s="122"/>
      <c r="Z1031" s="122"/>
      <c r="AA1031" s="122"/>
      <c r="AB1031" s="122"/>
      <c r="AC1031" s="122"/>
      <c r="AD1031" s="122"/>
      <c r="AE1031" s="122"/>
    </row>
    <row r="1032">
      <c r="A1032" s="122"/>
      <c r="B1032" s="122"/>
      <c r="C1032" s="122"/>
      <c r="D1032" s="122"/>
      <c r="E1032" s="122"/>
      <c r="F1032" s="123"/>
      <c r="G1032" s="123"/>
      <c r="H1032" s="123"/>
      <c r="I1032" s="123"/>
      <c r="J1032" s="123"/>
      <c r="K1032" s="122"/>
      <c r="L1032" s="122"/>
      <c r="M1032" s="122"/>
      <c r="N1032" s="122"/>
      <c r="O1032" s="122"/>
      <c r="P1032" s="122"/>
      <c r="Q1032" s="122"/>
      <c r="R1032" s="122"/>
      <c r="S1032" s="122"/>
      <c r="T1032" s="122"/>
      <c r="U1032" s="122"/>
      <c r="V1032" s="122"/>
      <c r="W1032" s="122"/>
      <c r="X1032" s="122"/>
      <c r="Y1032" s="122"/>
      <c r="Z1032" s="122"/>
      <c r="AA1032" s="122"/>
      <c r="AB1032" s="122"/>
      <c r="AC1032" s="122"/>
      <c r="AD1032" s="122"/>
      <c r="AE1032" s="122"/>
    </row>
    <row r="1033">
      <c r="A1033" s="122"/>
      <c r="B1033" s="122"/>
      <c r="C1033" s="122"/>
      <c r="D1033" s="122"/>
      <c r="E1033" s="122"/>
      <c r="F1033" s="123"/>
      <c r="G1033" s="123"/>
      <c r="H1033" s="123"/>
      <c r="I1033" s="123"/>
      <c r="J1033" s="123"/>
      <c r="K1033" s="122"/>
      <c r="L1033" s="122"/>
      <c r="M1033" s="122"/>
      <c r="N1033" s="122"/>
      <c r="O1033" s="122"/>
      <c r="P1033" s="122"/>
      <c r="Q1033" s="122"/>
      <c r="R1033" s="122"/>
      <c r="S1033" s="122"/>
      <c r="T1033" s="122"/>
      <c r="U1033" s="122"/>
      <c r="V1033" s="122"/>
      <c r="W1033" s="122"/>
      <c r="X1033" s="122"/>
      <c r="Y1033" s="122"/>
      <c r="Z1033" s="122"/>
      <c r="AA1033" s="122"/>
      <c r="AB1033" s="122"/>
      <c r="AC1033" s="122"/>
      <c r="AD1033" s="122"/>
      <c r="AE1033" s="122"/>
    </row>
    <row r="1034">
      <c r="A1034" s="122"/>
      <c r="B1034" s="122"/>
      <c r="C1034" s="122"/>
      <c r="D1034" s="122"/>
      <c r="E1034" s="122"/>
      <c r="F1034" s="123"/>
      <c r="G1034" s="123"/>
      <c r="H1034" s="123"/>
      <c r="I1034" s="123"/>
      <c r="J1034" s="123"/>
      <c r="K1034" s="122"/>
      <c r="L1034" s="122"/>
      <c r="M1034" s="122"/>
      <c r="N1034" s="122"/>
      <c r="O1034" s="122"/>
      <c r="P1034" s="122"/>
      <c r="Q1034" s="122"/>
      <c r="R1034" s="122"/>
      <c r="S1034" s="122"/>
      <c r="T1034" s="122"/>
      <c r="U1034" s="122"/>
      <c r="V1034" s="122"/>
      <c r="W1034" s="122"/>
      <c r="X1034" s="122"/>
      <c r="Y1034" s="122"/>
      <c r="Z1034" s="122"/>
      <c r="AA1034" s="122"/>
      <c r="AB1034" s="122"/>
      <c r="AC1034" s="122"/>
      <c r="AD1034" s="122"/>
      <c r="AE1034" s="122"/>
    </row>
    <row r="1035">
      <c r="A1035" s="122"/>
      <c r="B1035" s="122"/>
      <c r="C1035" s="122"/>
      <c r="D1035" s="122"/>
      <c r="E1035" s="122"/>
      <c r="F1035" s="123"/>
      <c r="G1035" s="123"/>
      <c r="H1035" s="123"/>
      <c r="I1035" s="123"/>
      <c r="J1035" s="123"/>
      <c r="K1035" s="122"/>
      <c r="L1035" s="122"/>
      <c r="M1035" s="122"/>
      <c r="N1035" s="122"/>
      <c r="O1035" s="122"/>
      <c r="P1035" s="122"/>
      <c r="Q1035" s="122"/>
      <c r="R1035" s="122"/>
      <c r="S1035" s="122"/>
      <c r="T1035" s="122"/>
      <c r="U1035" s="122"/>
      <c r="V1035" s="122"/>
      <c r="W1035" s="122"/>
      <c r="X1035" s="122"/>
      <c r="Y1035" s="122"/>
      <c r="Z1035" s="122"/>
      <c r="AA1035" s="122"/>
      <c r="AB1035" s="122"/>
      <c r="AC1035" s="122"/>
      <c r="AD1035" s="122"/>
      <c r="AE1035" s="122"/>
    </row>
    <row r="1036">
      <c r="A1036" s="122"/>
      <c r="B1036" s="122"/>
      <c r="C1036" s="122"/>
      <c r="D1036" s="122"/>
      <c r="E1036" s="122"/>
      <c r="F1036" s="123"/>
      <c r="G1036" s="123"/>
      <c r="H1036" s="123"/>
      <c r="I1036" s="123"/>
      <c r="J1036" s="123"/>
      <c r="K1036" s="122"/>
      <c r="L1036" s="122"/>
      <c r="M1036" s="122"/>
      <c r="N1036" s="122"/>
      <c r="O1036" s="122"/>
      <c r="P1036" s="122"/>
      <c r="Q1036" s="122"/>
      <c r="R1036" s="122"/>
      <c r="S1036" s="122"/>
      <c r="T1036" s="122"/>
      <c r="U1036" s="122"/>
      <c r="V1036" s="122"/>
      <c r="W1036" s="122"/>
      <c r="X1036" s="122"/>
      <c r="Y1036" s="122"/>
      <c r="Z1036" s="122"/>
      <c r="AA1036" s="122"/>
      <c r="AB1036" s="122"/>
      <c r="AC1036" s="122"/>
      <c r="AD1036" s="122"/>
      <c r="AE1036" s="122"/>
    </row>
    <row r="1037">
      <c r="A1037" s="122"/>
      <c r="B1037" s="122"/>
      <c r="C1037" s="122"/>
      <c r="D1037" s="122"/>
      <c r="E1037" s="122"/>
      <c r="F1037" s="123"/>
      <c r="G1037" s="123"/>
      <c r="H1037" s="123"/>
      <c r="I1037" s="123"/>
      <c r="J1037" s="123"/>
      <c r="K1037" s="122"/>
      <c r="L1037" s="122"/>
      <c r="M1037" s="122"/>
      <c r="N1037" s="122"/>
      <c r="O1037" s="122"/>
      <c r="P1037" s="122"/>
      <c r="Q1037" s="122"/>
      <c r="R1037" s="122"/>
      <c r="S1037" s="122"/>
      <c r="T1037" s="122"/>
      <c r="U1037" s="122"/>
      <c r="V1037" s="122"/>
      <c r="W1037" s="122"/>
      <c r="X1037" s="122"/>
      <c r="Y1037" s="122"/>
      <c r="Z1037" s="122"/>
      <c r="AA1037" s="122"/>
      <c r="AB1037" s="122"/>
      <c r="AC1037" s="122"/>
      <c r="AD1037" s="122"/>
      <c r="AE1037" s="122"/>
    </row>
    <row r="1038">
      <c r="A1038" s="122"/>
      <c r="B1038" s="122"/>
      <c r="C1038" s="122"/>
      <c r="D1038" s="122"/>
      <c r="E1038" s="122"/>
      <c r="F1038" s="123"/>
      <c r="G1038" s="123"/>
      <c r="H1038" s="123"/>
      <c r="I1038" s="123"/>
      <c r="J1038" s="123"/>
      <c r="K1038" s="122"/>
      <c r="L1038" s="122"/>
      <c r="M1038" s="122"/>
      <c r="N1038" s="122"/>
      <c r="O1038" s="122"/>
      <c r="P1038" s="122"/>
      <c r="Q1038" s="122"/>
      <c r="R1038" s="122"/>
      <c r="S1038" s="122"/>
      <c r="T1038" s="122"/>
      <c r="U1038" s="122"/>
      <c r="V1038" s="122"/>
      <c r="W1038" s="122"/>
      <c r="X1038" s="122"/>
      <c r="Y1038" s="122"/>
      <c r="Z1038" s="122"/>
      <c r="AA1038" s="122"/>
      <c r="AB1038" s="122"/>
      <c r="AC1038" s="122"/>
      <c r="AD1038" s="122"/>
      <c r="AE1038" s="122"/>
    </row>
    <row r="1039">
      <c r="A1039" s="122"/>
      <c r="B1039" s="122"/>
      <c r="C1039" s="122"/>
      <c r="D1039" s="122"/>
      <c r="E1039" s="122"/>
      <c r="F1039" s="123"/>
      <c r="G1039" s="123"/>
      <c r="H1039" s="123"/>
      <c r="I1039" s="123"/>
      <c r="J1039" s="123"/>
      <c r="K1039" s="122"/>
      <c r="L1039" s="122"/>
      <c r="M1039" s="122"/>
      <c r="N1039" s="122"/>
      <c r="O1039" s="122"/>
      <c r="P1039" s="122"/>
      <c r="Q1039" s="122"/>
      <c r="R1039" s="122"/>
      <c r="S1039" s="122"/>
      <c r="T1039" s="122"/>
      <c r="U1039" s="122"/>
      <c r="V1039" s="122"/>
      <c r="W1039" s="122"/>
      <c r="X1039" s="122"/>
      <c r="Y1039" s="122"/>
      <c r="Z1039" s="122"/>
      <c r="AA1039" s="122"/>
      <c r="AB1039" s="122"/>
      <c r="AC1039" s="122"/>
      <c r="AD1039" s="122"/>
      <c r="AE1039" s="122"/>
    </row>
    <row r="1040">
      <c r="A1040" s="122"/>
      <c r="B1040" s="122"/>
      <c r="C1040" s="122"/>
      <c r="D1040" s="122"/>
      <c r="E1040" s="122"/>
      <c r="F1040" s="123"/>
      <c r="G1040" s="123"/>
      <c r="H1040" s="123"/>
      <c r="I1040" s="123"/>
      <c r="J1040" s="123"/>
      <c r="K1040" s="122"/>
      <c r="L1040" s="122"/>
      <c r="M1040" s="122"/>
      <c r="N1040" s="122"/>
      <c r="O1040" s="122"/>
      <c r="P1040" s="122"/>
      <c r="Q1040" s="122"/>
      <c r="R1040" s="122"/>
      <c r="S1040" s="122"/>
      <c r="T1040" s="122"/>
      <c r="U1040" s="122"/>
      <c r="V1040" s="122"/>
      <c r="W1040" s="122"/>
      <c r="X1040" s="122"/>
      <c r="Y1040" s="122"/>
      <c r="Z1040" s="122"/>
      <c r="AA1040" s="122"/>
      <c r="AB1040" s="122"/>
      <c r="AC1040" s="122"/>
      <c r="AD1040" s="122"/>
      <c r="AE1040" s="122"/>
    </row>
    <row r="1041">
      <c r="A1041" s="122"/>
      <c r="B1041" s="122"/>
      <c r="C1041" s="122"/>
      <c r="D1041" s="122"/>
      <c r="E1041" s="122"/>
      <c r="F1041" s="123"/>
      <c r="G1041" s="123"/>
      <c r="H1041" s="123"/>
      <c r="I1041" s="123"/>
      <c r="J1041" s="123"/>
      <c r="K1041" s="122"/>
      <c r="L1041" s="122"/>
      <c r="M1041" s="122"/>
      <c r="N1041" s="122"/>
      <c r="O1041" s="122"/>
      <c r="P1041" s="122"/>
      <c r="Q1041" s="122"/>
      <c r="R1041" s="122"/>
      <c r="S1041" s="122"/>
      <c r="T1041" s="122"/>
      <c r="U1041" s="122"/>
      <c r="V1041" s="122"/>
      <c r="W1041" s="122"/>
      <c r="X1041" s="122"/>
      <c r="Y1041" s="122"/>
      <c r="Z1041" s="122"/>
      <c r="AA1041" s="122"/>
      <c r="AB1041" s="122"/>
      <c r="AC1041" s="122"/>
      <c r="AD1041" s="122"/>
      <c r="AE1041" s="122"/>
    </row>
    <row r="1042">
      <c r="A1042" s="122"/>
      <c r="B1042" s="122"/>
      <c r="C1042" s="122"/>
      <c r="D1042" s="122"/>
      <c r="E1042" s="122"/>
      <c r="F1042" s="123"/>
      <c r="G1042" s="123"/>
      <c r="H1042" s="123"/>
      <c r="I1042" s="123"/>
      <c r="J1042" s="123"/>
      <c r="K1042" s="122"/>
      <c r="L1042" s="122"/>
      <c r="M1042" s="122"/>
      <c r="N1042" s="122"/>
      <c r="O1042" s="122"/>
      <c r="P1042" s="122"/>
      <c r="Q1042" s="122"/>
      <c r="R1042" s="122"/>
      <c r="S1042" s="122"/>
      <c r="T1042" s="122"/>
      <c r="U1042" s="122"/>
      <c r="V1042" s="122"/>
      <c r="W1042" s="122"/>
      <c r="X1042" s="122"/>
      <c r="Y1042" s="122"/>
      <c r="Z1042" s="122"/>
      <c r="AA1042" s="122"/>
      <c r="AB1042" s="122"/>
      <c r="AC1042" s="122"/>
      <c r="AD1042" s="122"/>
      <c r="AE1042" s="122"/>
    </row>
    <row r="1043">
      <c r="A1043" s="122"/>
      <c r="B1043" s="122"/>
      <c r="C1043" s="122"/>
      <c r="D1043" s="122"/>
      <c r="E1043" s="122"/>
      <c r="F1043" s="123"/>
      <c r="G1043" s="123"/>
      <c r="H1043" s="123"/>
      <c r="I1043" s="123"/>
      <c r="J1043" s="123"/>
      <c r="K1043" s="122"/>
      <c r="L1043" s="122"/>
      <c r="M1043" s="122"/>
      <c r="N1043" s="122"/>
      <c r="O1043" s="122"/>
      <c r="P1043" s="122"/>
      <c r="Q1043" s="122"/>
      <c r="R1043" s="122"/>
      <c r="S1043" s="122"/>
      <c r="T1043" s="122"/>
      <c r="U1043" s="122"/>
      <c r="V1043" s="122"/>
      <c r="W1043" s="122"/>
      <c r="X1043" s="122"/>
      <c r="Y1043" s="122"/>
      <c r="Z1043" s="122"/>
      <c r="AA1043" s="122"/>
      <c r="AB1043" s="122"/>
      <c r="AC1043" s="122"/>
      <c r="AD1043" s="122"/>
      <c r="AE1043" s="122"/>
    </row>
    <row r="1044">
      <c r="A1044" s="122"/>
      <c r="B1044" s="122"/>
      <c r="C1044" s="122"/>
      <c r="D1044" s="122"/>
      <c r="E1044" s="122"/>
      <c r="F1044" s="123"/>
      <c r="G1044" s="123"/>
      <c r="H1044" s="123"/>
      <c r="I1044" s="123"/>
      <c r="J1044" s="123"/>
      <c r="K1044" s="122"/>
      <c r="L1044" s="122"/>
      <c r="M1044" s="122"/>
      <c r="N1044" s="122"/>
      <c r="O1044" s="122"/>
      <c r="P1044" s="122"/>
      <c r="Q1044" s="122"/>
      <c r="R1044" s="122"/>
      <c r="S1044" s="122"/>
      <c r="T1044" s="122"/>
      <c r="U1044" s="122"/>
      <c r="V1044" s="122"/>
      <c r="W1044" s="122"/>
      <c r="X1044" s="122"/>
      <c r="Y1044" s="122"/>
      <c r="Z1044" s="122"/>
      <c r="AA1044" s="122"/>
      <c r="AB1044" s="122"/>
      <c r="AC1044" s="122"/>
      <c r="AD1044" s="122"/>
      <c r="AE1044" s="122"/>
    </row>
    <row r="1045">
      <c r="A1045" s="122"/>
      <c r="B1045" s="122"/>
      <c r="C1045" s="122"/>
      <c r="D1045" s="122"/>
      <c r="E1045" s="122"/>
      <c r="F1045" s="123"/>
      <c r="G1045" s="123"/>
      <c r="H1045" s="123"/>
      <c r="I1045" s="123"/>
      <c r="J1045" s="123"/>
      <c r="K1045" s="122"/>
      <c r="L1045" s="122"/>
      <c r="M1045" s="122"/>
      <c r="N1045" s="122"/>
      <c r="O1045" s="122"/>
      <c r="P1045" s="122"/>
      <c r="Q1045" s="122"/>
      <c r="R1045" s="122"/>
      <c r="S1045" s="122"/>
      <c r="T1045" s="122"/>
      <c r="U1045" s="122"/>
      <c r="V1045" s="122"/>
      <c r="W1045" s="122"/>
      <c r="X1045" s="122"/>
      <c r="Y1045" s="122"/>
      <c r="Z1045" s="122"/>
      <c r="AA1045" s="122"/>
      <c r="AB1045" s="122"/>
      <c r="AC1045" s="122"/>
      <c r="AD1045" s="122"/>
      <c r="AE1045" s="122"/>
    </row>
    <row r="1046">
      <c r="A1046" s="122"/>
      <c r="B1046" s="122"/>
      <c r="C1046" s="122"/>
      <c r="D1046" s="122"/>
      <c r="E1046" s="122"/>
      <c r="F1046" s="123"/>
      <c r="G1046" s="123"/>
      <c r="H1046" s="123"/>
      <c r="I1046" s="123"/>
      <c r="J1046" s="123"/>
      <c r="K1046" s="122"/>
      <c r="L1046" s="122"/>
      <c r="M1046" s="122"/>
      <c r="N1046" s="122"/>
      <c r="O1046" s="122"/>
      <c r="P1046" s="122"/>
      <c r="Q1046" s="122"/>
      <c r="R1046" s="122"/>
      <c r="S1046" s="122"/>
      <c r="T1046" s="122"/>
      <c r="U1046" s="122"/>
      <c r="V1046" s="122"/>
      <c r="W1046" s="122"/>
      <c r="X1046" s="122"/>
      <c r="Y1046" s="122"/>
      <c r="Z1046" s="122"/>
      <c r="AA1046" s="122"/>
      <c r="AB1046" s="122"/>
      <c r="AC1046" s="122"/>
      <c r="AD1046" s="122"/>
      <c r="AE1046" s="122"/>
    </row>
    <row r="1047">
      <c r="A1047" s="122"/>
      <c r="B1047" s="122"/>
      <c r="C1047" s="122"/>
      <c r="D1047" s="122"/>
      <c r="E1047" s="122"/>
      <c r="F1047" s="123"/>
      <c r="G1047" s="123"/>
      <c r="H1047" s="123"/>
      <c r="I1047" s="123"/>
      <c r="J1047" s="123"/>
      <c r="K1047" s="122"/>
      <c r="L1047" s="122"/>
      <c r="M1047" s="122"/>
      <c r="N1047" s="122"/>
      <c r="O1047" s="122"/>
      <c r="P1047" s="122"/>
      <c r="Q1047" s="122"/>
      <c r="R1047" s="122"/>
      <c r="S1047" s="122"/>
      <c r="T1047" s="122"/>
      <c r="U1047" s="122"/>
      <c r="V1047" s="122"/>
      <c r="W1047" s="122"/>
      <c r="X1047" s="122"/>
      <c r="Y1047" s="122"/>
      <c r="Z1047" s="122"/>
      <c r="AA1047" s="122"/>
      <c r="AB1047" s="122"/>
      <c r="AC1047" s="122"/>
      <c r="AD1047" s="122"/>
      <c r="AE1047" s="122"/>
    </row>
    <row r="1048">
      <c r="A1048" s="122"/>
      <c r="B1048" s="122"/>
      <c r="C1048" s="122"/>
      <c r="D1048" s="122"/>
      <c r="E1048" s="122"/>
      <c r="F1048" s="123"/>
      <c r="G1048" s="123"/>
      <c r="H1048" s="123"/>
      <c r="I1048" s="123"/>
      <c r="J1048" s="123"/>
      <c r="K1048" s="122"/>
      <c r="L1048" s="122"/>
      <c r="M1048" s="122"/>
      <c r="N1048" s="122"/>
      <c r="O1048" s="122"/>
      <c r="P1048" s="122"/>
      <c r="Q1048" s="122"/>
      <c r="R1048" s="122"/>
      <c r="S1048" s="122"/>
      <c r="T1048" s="122"/>
      <c r="U1048" s="122"/>
      <c r="V1048" s="122"/>
      <c r="W1048" s="122"/>
      <c r="X1048" s="122"/>
      <c r="Y1048" s="122"/>
      <c r="Z1048" s="122"/>
      <c r="AA1048" s="122"/>
      <c r="AB1048" s="122"/>
      <c r="AC1048" s="122"/>
      <c r="AD1048" s="122"/>
      <c r="AE1048" s="122"/>
    </row>
    <row r="1049">
      <c r="A1049" s="122"/>
      <c r="B1049" s="122"/>
      <c r="C1049" s="122"/>
      <c r="D1049" s="122"/>
      <c r="E1049" s="122"/>
      <c r="F1049" s="123"/>
      <c r="G1049" s="123"/>
      <c r="H1049" s="123"/>
      <c r="I1049" s="123"/>
      <c r="J1049" s="123"/>
      <c r="K1049" s="122"/>
      <c r="L1049" s="122"/>
      <c r="M1049" s="122"/>
      <c r="N1049" s="122"/>
      <c r="O1049" s="122"/>
      <c r="P1049" s="122"/>
      <c r="Q1049" s="122"/>
      <c r="R1049" s="122"/>
      <c r="S1049" s="122"/>
      <c r="T1049" s="122"/>
      <c r="U1049" s="122"/>
      <c r="V1049" s="122"/>
      <c r="W1049" s="122"/>
      <c r="X1049" s="122"/>
      <c r="Y1049" s="122"/>
      <c r="Z1049" s="122"/>
      <c r="AA1049" s="122"/>
      <c r="AB1049" s="122"/>
      <c r="AC1049" s="122"/>
      <c r="AD1049" s="122"/>
      <c r="AE1049" s="122"/>
    </row>
    <row r="1050">
      <c r="A1050" s="122"/>
      <c r="B1050" s="122"/>
      <c r="C1050" s="122"/>
      <c r="D1050" s="122"/>
      <c r="E1050" s="122"/>
      <c r="F1050" s="123"/>
      <c r="G1050" s="123"/>
      <c r="H1050" s="123"/>
      <c r="I1050" s="123"/>
      <c r="J1050" s="123"/>
      <c r="K1050" s="122"/>
      <c r="L1050" s="122"/>
      <c r="M1050" s="122"/>
      <c r="N1050" s="122"/>
      <c r="O1050" s="122"/>
      <c r="P1050" s="122"/>
      <c r="Q1050" s="122"/>
      <c r="R1050" s="122"/>
      <c r="S1050" s="122"/>
      <c r="T1050" s="122"/>
      <c r="U1050" s="122"/>
      <c r="V1050" s="122"/>
      <c r="W1050" s="122"/>
      <c r="X1050" s="122"/>
      <c r="Y1050" s="122"/>
      <c r="Z1050" s="122"/>
      <c r="AA1050" s="122"/>
      <c r="AB1050" s="122"/>
      <c r="AC1050" s="122"/>
      <c r="AD1050" s="122"/>
      <c r="AE1050" s="122"/>
    </row>
    <row r="1051">
      <c r="A1051" s="122"/>
      <c r="B1051" s="122"/>
      <c r="C1051" s="122"/>
      <c r="D1051" s="122"/>
      <c r="E1051" s="122"/>
      <c r="F1051" s="123"/>
      <c r="G1051" s="123"/>
      <c r="H1051" s="123"/>
      <c r="I1051" s="123"/>
      <c r="J1051" s="123"/>
      <c r="K1051" s="122"/>
      <c r="L1051" s="122"/>
      <c r="M1051" s="122"/>
      <c r="N1051" s="122"/>
      <c r="O1051" s="122"/>
      <c r="P1051" s="122"/>
      <c r="Q1051" s="122"/>
      <c r="R1051" s="122"/>
      <c r="S1051" s="122"/>
      <c r="T1051" s="122"/>
      <c r="U1051" s="122"/>
      <c r="V1051" s="122"/>
      <c r="W1051" s="122"/>
      <c r="X1051" s="122"/>
      <c r="Y1051" s="122"/>
      <c r="Z1051" s="122"/>
      <c r="AA1051" s="122"/>
      <c r="AB1051" s="122"/>
      <c r="AC1051" s="122"/>
      <c r="AD1051" s="122"/>
      <c r="AE1051" s="122"/>
    </row>
    <row r="1052">
      <c r="A1052" s="122"/>
      <c r="B1052" s="122"/>
      <c r="C1052" s="122"/>
      <c r="D1052" s="122"/>
      <c r="E1052" s="122"/>
      <c r="F1052" s="123"/>
      <c r="G1052" s="123"/>
      <c r="H1052" s="123"/>
      <c r="I1052" s="123"/>
      <c r="J1052" s="123"/>
      <c r="K1052" s="122"/>
      <c r="L1052" s="122"/>
      <c r="M1052" s="122"/>
      <c r="N1052" s="122"/>
      <c r="O1052" s="122"/>
      <c r="P1052" s="122"/>
      <c r="Q1052" s="122"/>
      <c r="R1052" s="122"/>
      <c r="S1052" s="122"/>
      <c r="T1052" s="122"/>
      <c r="U1052" s="122"/>
      <c r="V1052" s="122"/>
      <c r="W1052" s="122"/>
      <c r="X1052" s="122"/>
      <c r="Y1052" s="122"/>
      <c r="Z1052" s="122"/>
      <c r="AA1052" s="122"/>
      <c r="AB1052" s="122"/>
      <c r="AC1052" s="122"/>
      <c r="AD1052" s="122"/>
      <c r="AE1052" s="122"/>
    </row>
    <row r="1053">
      <c r="A1053" s="122"/>
      <c r="B1053" s="122"/>
      <c r="C1053" s="122"/>
      <c r="D1053" s="122"/>
      <c r="E1053" s="122"/>
      <c r="F1053" s="123"/>
      <c r="G1053" s="123"/>
      <c r="H1053" s="123"/>
      <c r="I1053" s="123"/>
      <c r="J1053" s="123"/>
      <c r="K1053" s="122"/>
      <c r="L1053" s="122"/>
      <c r="M1053" s="122"/>
      <c r="N1053" s="122"/>
      <c r="O1053" s="122"/>
      <c r="P1053" s="122"/>
      <c r="Q1053" s="122"/>
      <c r="R1053" s="122"/>
      <c r="S1053" s="122"/>
      <c r="T1053" s="122"/>
      <c r="U1053" s="122"/>
      <c r="V1053" s="122"/>
      <c r="W1053" s="122"/>
      <c r="X1053" s="122"/>
      <c r="Y1053" s="122"/>
      <c r="Z1053" s="122"/>
      <c r="AA1053" s="122"/>
      <c r="AB1053" s="122"/>
      <c r="AC1053" s="122"/>
      <c r="AD1053" s="122"/>
      <c r="AE1053" s="122"/>
    </row>
    <row r="1054">
      <c r="A1054" s="122"/>
      <c r="B1054" s="122"/>
      <c r="C1054" s="122"/>
      <c r="D1054" s="122"/>
      <c r="E1054" s="122"/>
      <c r="F1054" s="123"/>
      <c r="G1054" s="123"/>
      <c r="H1054" s="123"/>
      <c r="I1054" s="123"/>
      <c r="J1054" s="123"/>
      <c r="K1054" s="122"/>
      <c r="L1054" s="122"/>
      <c r="M1054" s="122"/>
      <c r="N1054" s="122"/>
      <c r="O1054" s="122"/>
      <c r="P1054" s="122"/>
      <c r="Q1054" s="122"/>
      <c r="R1054" s="122"/>
      <c r="S1054" s="122"/>
      <c r="T1054" s="122"/>
      <c r="U1054" s="122"/>
      <c r="V1054" s="122"/>
      <c r="W1054" s="122"/>
      <c r="X1054" s="122"/>
      <c r="Y1054" s="122"/>
      <c r="Z1054" s="122"/>
      <c r="AA1054" s="122"/>
      <c r="AB1054" s="122"/>
      <c r="AC1054" s="122"/>
      <c r="AD1054" s="122"/>
      <c r="AE1054" s="122"/>
    </row>
    <row r="1055">
      <c r="A1055" s="122"/>
      <c r="B1055" s="122"/>
      <c r="C1055" s="122"/>
      <c r="D1055" s="122"/>
      <c r="E1055" s="122"/>
      <c r="F1055" s="123"/>
      <c r="G1055" s="123"/>
      <c r="H1055" s="123"/>
      <c r="I1055" s="123"/>
      <c r="J1055" s="123"/>
      <c r="K1055" s="122"/>
      <c r="L1055" s="122"/>
      <c r="M1055" s="122"/>
      <c r="N1055" s="122"/>
      <c r="O1055" s="122"/>
      <c r="P1055" s="122"/>
      <c r="Q1055" s="122"/>
      <c r="R1055" s="122"/>
      <c r="S1055" s="122"/>
      <c r="T1055" s="122"/>
      <c r="U1055" s="122"/>
      <c r="V1055" s="122"/>
      <c r="W1055" s="122"/>
      <c r="X1055" s="122"/>
      <c r="Y1055" s="122"/>
      <c r="Z1055" s="122"/>
      <c r="AA1055" s="122"/>
      <c r="AB1055" s="122"/>
      <c r="AC1055" s="122"/>
      <c r="AD1055" s="122"/>
      <c r="AE1055" s="122"/>
    </row>
  </sheetData>
  <mergeCells count="1">
    <mergeCell ref="A2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38"/>
    <col customWidth="1" min="3" max="3" width="28.5"/>
    <col customWidth="1" min="4" max="4" width="15.13"/>
  </cols>
  <sheetData>
    <row r="1">
      <c r="A1" s="196" t="s">
        <v>1225</v>
      </c>
    </row>
    <row r="2">
      <c r="D2" s="2" t="s">
        <v>1226</v>
      </c>
    </row>
    <row r="3">
      <c r="A3" s="197" t="s">
        <v>1227</v>
      </c>
      <c r="D3" s="2" t="s">
        <v>1228</v>
      </c>
    </row>
    <row r="4">
      <c r="D4" s="2" t="s">
        <v>1229</v>
      </c>
    </row>
    <row r="5">
      <c r="A5" s="198" t="s">
        <v>1</v>
      </c>
      <c r="B5" s="198" t="s">
        <v>1230</v>
      </c>
      <c r="C5" s="198" t="s">
        <v>1231</v>
      </c>
    </row>
    <row r="6">
      <c r="A6" s="199">
        <v>45563.0</v>
      </c>
      <c r="B6" s="200">
        <v>2.0</v>
      </c>
      <c r="C6" s="200" t="s">
        <v>57</v>
      </c>
    </row>
    <row r="7">
      <c r="A7" s="199">
        <v>45563.0</v>
      </c>
      <c r="B7" s="200">
        <v>2.0</v>
      </c>
      <c r="C7" s="200" t="s">
        <v>1232</v>
      </c>
    </row>
    <row r="8">
      <c r="A8" s="199">
        <v>45563.0</v>
      </c>
      <c r="B8" s="200">
        <v>2.0</v>
      </c>
      <c r="C8" s="200" t="s">
        <v>87</v>
      </c>
      <c r="D8" s="2" t="s">
        <v>1233</v>
      </c>
    </row>
    <row r="9">
      <c r="A9" s="199">
        <v>45563.0</v>
      </c>
      <c r="B9" s="200">
        <v>2.0</v>
      </c>
      <c r="C9" s="200" t="s">
        <v>1234</v>
      </c>
    </row>
    <row r="10">
      <c r="A10" s="199">
        <v>45563.0</v>
      </c>
      <c r="B10" s="200">
        <v>1.0</v>
      </c>
      <c r="C10" s="200" t="s">
        <v>100</v>
      </c>
    </row>
    <row r="12">
      <c r="A12" s="197" t="s">
        <v>1235</v>
      </c>
    </row>
    <row r="13">
      <c r="A13" s="198" t="s">
        <v>1</v>
      </c>
      <c r="B13" s="198" t="s">
        <v>1230</v>
      </c>
      <c r="C13" s="198" t="s">
        <v>1231</v>
      </c>
    </row>
    <row r="14">
      <c r="A14" s="201">
        <v>45570.0</v>
      </c>
      <c r="B14" s="202">
        <v>2.0</v>
      </c>
      <c r="C14" s="202" t="s">
        <v>62</v>
      </c>
    </row>
    <row r="15">
      <c r="A15" s="201">
        <v>45570.0</v>
      </c>
      <c r="B15" s="202">
        <v>2.0</v>
      </c>
      <c r="C15" s="202" t="s">
        <v>1236</v>
      </c>
      <c r="D15" s="2" t="s">
        <v>1237</v>
      </c>
    </row>
    <row r="16">
      <c r="A16" s="203">
        <v>45570.0</v>
      </c>
      <c r="B16" s="202">
        <v>5.0</v>
      </c>
      <c r="C16" s="202" t="s">
        <v>57</v>
      </c>
    </row>
    <row r="17">
      <c r="A17" s="204"/>
      <c r="B17" s="1"/>
      <c r="C17" s="1"/>
    </row>
    <row r="18">
      <c r="A18" s="203">
        <v>45577.0</v>
      </c>
      <c r="B18" s="202">
        <v>2.0</v>
      </c>
      <c r="C18" s="202" t="s">
        <v>26</v>
      </c>
    </row>
    <row r="19">
      <c r="A19" s="203">
        <v>45577.0</v>
      </c>
      <c r="B19" s="202">
        <v>3.0</v>
      </c>
      <c r="C19" s="202" t="s">
        <v>40</v>
      </c>
      <c r="D19" s="2" t="s">
        <v>1238</v>
      </c>
    </row>
    <row r="20">
      <c r="A20" s="203">
        <v>45577.0</v>
      </c>
      <c r="B20" s="202">
        <v>2.0</v>
      </c>
      <c r="C20" s="202" t="s">
        <v>1239</v>
      </c>
    </row>
    <row r="21">
      <c r="A21" s="203">
        <v>45578.0</v>
      </c>
      <c r="B21" s="202">
        <v>2.0</v>
      </c>
      <c r="C21" s="202" t="s">
        <v>1240</v>
      </c>
      <c r="D21" s="2" t="s">
        <v>1241</v>
      </c>
      <c r="E21" s="2" t="s">
        <v>1242</v>
      </c>
    </row>
    <row r="22">
      <c r="A22" s="203">
        <v>45577.0</v>
      </c>
      <c r="B22" s="202">
        <v>2.0</v>
      </c>
      <c r="C22" s="202" t="s">
        <v>1243</v>
      </c>
    </row>
    <row r="23">
      <c r="A23" s="203">
        <v>45577.0</v>
      </c>
      <c r="B23" s="202">
        <v>4.0</v>
      </c>
      <c r="C23" s="202" t="s">
        <v>125</v>
      </c>
      <c r="D23" s="2" t="s">
        <v>1244</v>
      </c>
    </row>
    <row r="24">
      <c r="A24" s="203">
        <v>45577.0</v>
      </c>
      <c r="B24" s="202">
        <v>4.0</v>
      </c>
      <c r="C24" s="202" t="s">
        <v>1245</v>
      </c>
    </row>
    <row r="25">
      <c r="A25" s="204"/>
      <c r="B25" s="1"/>
      <c r="C25" s="1"/>
    </row>
    <row r="26">
      <c r="A26" s="203">
        <v>45584.0</v>
      </c>
      <c r="B26" s="202">
        <v>4.0</v>
      </c>
      <c r="C26" s="202" t="s">
        <v>52</v>
      </c>
      <c r="D26" s="2" t="s">
        <v>1246</v>
      </c>
    </row>
    <row r="27">
      <c r="A27" s="203">
        <v>45584.0</v>
      </c>
      <c r="B27" s="202">
        <v>2.0</v>
      </c>
      <c r="C27" s="202" t="s">
        <v>1247</v>
      </c>
      <c r="D27" s="2" t="s">
        <v>1248</v>
      </c>
    </row>
    <row r="28">
      <c r="A28" s="203">
        <v>45584.0</v>
      </c>
      <c r="B28" s="202">
        <v>3.0</v>
      </c>
      <c r="C28" s="202" t="s">
        <v>1249</v>
      </c>
      <c r="D28" s="2" t="s">
        <v>1250</v>
      </c>
    </row>
    <row r="29">
      <c r="A29" s="203">
        <v>45584.0</v>
      </c>
      <c r="B29" s="202">
        <v>4.0</v>
      </c>
      <c r="C29" s="202" t="s">
        <v>1251</v>
      </c>
    </row>
    <row r="30">
      <c r="A30" s="203">
        <v>45584.0</v>
      </c>
      <c r="B30" s="202">
        <v>2.0</v>
      </c>
      <c r="C30" s="202" t="s">
        <v>1252</v>
      </c>
    </row>
    <row r="31">
      <c r="A31" s="203">
        <v>45584.0</v>
      </c>
      <c r="B31" s="202">
        <v>2.0</v>
      </c>
      <c r="C31" s="202" t="s">
        <v>1253</v>
      </c>
    </row>
    <row r="32">
      <c r="A32" s="203">
        <v>45584.0</v>
      </c>
      <c r="B32" s="202">
        <v>2.0</v>
      </c>
      <c r="C32" s="202" t="s">
        <v>1254</v>
      </c>
    </row>
    <row r="33">
      <c r="A33" s="203">
        <v>45584.0</v>
      </c>
      <c r="B33" s="202">
        <v>2.0</v>
      </c>
      <c r="C33" s="202" t="s">
        <v>1255</v>
      </c>
    </row>
    <row r="34">
      <c r="A34" s="204"/>
      <c r="B34" s="1"/>
      <c r="C34" s="1"/>
    </row>
    <row r="35">
      <c r="A35" s="204"/>
      <c r="B35" s="1"/>
      <c r="C35" s="1"/>
    </row>
    <row r="36">
      <c r="A36" s="203">
        <v>45591.0</v>
      </c>
      <c r="B36" s="202">
        <v>3.0</v>
      </c>
      <c r="C36" s="202" t="s">
        <v>1256</v>
      </c>
    </row>
    <row r="37">
      <c r="A37" s="203">
        <v>45591.0</v>
      </c>
      <c r="B37" s="202">
        <v>3.0</v>
      </c>
      <c r="C37" s="202" t="s">
        <v>34</v>
      </c>
    </row>
    <row r="38">
      <c r="A38" s="203">
        <v>45591.0</v>
      </c>
      <c r="B38" s="202">
        <v>1.0</v>
      </c>
      <c r="C38" s="202" t="s">
        <v>73</v>
      </c>
      <c r="D38" s="2"/>
    </row>
    <row r="39">
      <c r="A39" s="203">
        <v>45591.0</v>
      </c>
      <c r="B39" s="202">
        <v>2.0</v>
      </c>
      <c r="C39" s="202" t="s">
        <v>103</v>
      </c>
    </row>
    <row r="40">
      <c r="A40" s="203">
        <v>45591.0</v>
      </c>
      <c r="B40" s="202">
        <v>2.0</v>
      </c>
      <c r="C40" s="202" t="s">
        <v>1257</v>
      </c>
    </row>
    <row r="41">
      <c r="A41" s="204"/>
      <c r="B41" s="1"/>
      <c r="C41" s="1"/>
    </row>
    <row r="43">
      <c r="A43" s="197" t="s">
        <v>1258</v>
      </c>
    </row>
    <row r="44">
      <c r="A44" s="198" t="s">
        <v>1</v>
      </c>
      <c r="B44" s="198" t="s">
        <v>1230</v>
      </c>
      <c r="C44" s="198" t="s">
        <v>1231</v>
      </c>
    </row>
    <row r="45">
      <c r="A45" s="203">
        <v>45598.0</v>
      </c>
      <c r="B45" s="202">
        <v>2.0</v>
      </c>
      <c r="C45" s="202" t="s">
        <v>139</v>
      </c>
    </row>
    <row r="46">
      <c r="A46" s="205">
        <v>45598.0</v>
      </c>
      <c r="B46" s="206">
        <v>2.0</v>
      </c>
      <c r="C46" s="206" t="s">
        <v>1259</v>
      </c>
      <c r="D46" s="2" t="s">
        <v>1260</v>
      </c>
    </row>
    <row r="47">
      <c r="A47" s="205">
        <v>45598.0</v>
      </c>
      <c r="B47" s="206">
        <v>2.0</v>
      </c>
      <c r="C47" s="206" t="s">
        <v>1261</v>
      </c>
      <c r="D47" s="2"/>
    </row>
    <row r="48">
      <c r="A48" s="203">
        <v>45598.0</v>
      </c>
      <c r="B48" s="202">
        <v>2.0</v>
      </c>
      <c r="C48" s="202" t="s">
        <v>201</v>
      </c>
    </row>
    <row r="49">
      <c r="A49" s="203">
        <v>45598.0</v>
      </c>
      <c r="B49" s="202">
        <v>2.0</v>
      </c>
      <c r="C49" s="202" t="s">
        <v>1262</v>
      </c>
    </row>
    <row r="50">
      <c r="A50" s="205">
        <v>45599.0</v>
      </c>
      <c r="B50" s="206">
        <v>3.0</v>
      </c>
      <c r="C50" s="206" t="s">
        <v>1263</v>
      </c>
    </row>
    <row r="51">
      <c r="A51" s="207"/>
      <c r="B51" s="208"/>
      <c r="C51" s="208"/>
    </row>
    <row r="52">
      <c r="A52" s="205">
        <v>45605.0</v>
      </c>
      <c r="B52" s="206">
        <v>3.0</v>
      </c>
      <c r="C52" s="209" t="s">
        <v>63</v>
      </c>
      <c r="D52" s="2" t="s">
        <v>1264</v>
      </c>
    </row>
    <row r="53">
      <c r="A53" s="203">
        <v>45606.0</v>
      </c>
      <c r="B53" s="202">
        <v>2.0</v>
      </c>
      <c r="C53" s="202" t="s">
        <v>1265</v>
      </c>
      <c r="D53" s="2" t="s">
        <v>1266</v>
      </c>
    </row>
    <row r="54">
      <c r="A54" s="201">
        <v>45605.0</v>
      </c>
      <c r="B54" s="202">
        <v>6.0</v>
      </c>
      <c r="C54" s="202" t="s">
        <v>156</v>
      </c>
    </row>
    <row r="57">
      <c r="A57" s="205">
        <v>45612.0</v>
      </c>
      <c r="B57" s="206">
        <v>3.0</v>
      </c>
      <c r="C57" s="206" t="s">
        <v>1267</v>
      </c>
      <c r="D57" s="2" t="s">
        <v>1268</v>
      </c>
    </row>
    <row r="58">
      <c r="A58" s="203">
        <v>45612.0</v>
      </c>
      <c r="B58" s="202">
        <v>2.0</v>
      </c>
      <c r="C58" s="202" t="s">
        <v>160</v>
      </c>
      <c r="D58" s="2" t="s">
        <v>1269</v>
      </c>
    </row>
    <row r="59">
      <c r="A59" s="205">
        <v>45612.0</v>
      </c>
      <c r="B59" s="206">
        <v>3.0</v>
      </c>
      <c r="C59" s="206" t="s">
        <v>1270</v>
      </c>
    </row>
    <row r="60">
      <c r="A60" s="205">
        <v>45612.0</v>
      </c>
      <c r="B60" s="206">
        <v>2.0</v>
      </c>
      <c r="C60" s="206" t="s">
        <v>1271</v>
      </c>
      <c r="D60" s="2" t="s">
        <v>1272</v>
      </c>
    </row>
    <row r="61">
      <c r="A61" s="205">
        <v>45612.0</v>
      </c>
      <c r="B61" s="206">
        <v>2.0</v>
      </c>
      <c r="C61" s="206" t="s">
        <v>1273</v>
      </c>
      <c r="D61" s="2" t="s">
        <v>1274</v>
      </c>
    </row>
    <row r="62">
      <c r="A62" s="204"/>
      <c r="B62" s="1"/>
      <c r="C62" s="1"/>
    </row>
    <row r="63">
      <c r="A63" s="203">
        <v>45619.0</v>
      </c>
      <c r="B63" s="202">
        <v>2.0</v>
      </c>
      <c r="C63" s="202" t="s">
        <v>1275</v>
      </c>
      <c r="D63" s="2"/>
    </row>
    <row r="64">
      <c r="A64" s="203">
        <v>45619.0</v>
      </c>
      <c r="B64" s="202">
        <v>2.0</v>
      </c>
      <c r="C64" s="202" t="s">
        <v>1276</v>
      </c>
      <c r="D64" s="2" t="s">
        <v>1277</v>
      </c>
    </row>
    <row r="65">
      <c r="A65" s="203">
        <v>45619.0</v>
      </c>
      <c r="B65" s="202">
        <v>2.0</v>
      </c>
      <c r="C65" s="202" t="s">
        <v>1278</v>
      </c>
      <c r="D65" s="2" t="s">
        <v>1279</v>
      </c>
    </row>
    <row r="66">
      <c r="A66" s="203">
        <v>45619.0</v>
      </c>
      <c r="B66" s="202">
        <v>2.0</v>
      </c>
      <c r="C66" s="202" t="s">
        <v>1280</v>
      </c>
      <c r="D66" s="2" t="s">
        <v>1281</v>
      </c>
    </row>
    <row r="67">
      <c r="A67" s="203">
        <v>45619.0</v>
      </c>
      <c r="B67" s="202">
        <v>2.0</v>
      </c>
      <c r="C67" s="202" t="s">
        <v>1282</v>
      </c>
    </row>
    <row r="69">
      <c r="A69" s="205">
        <v>45626.0</v>
      </c>
      <c r="B69" s="206">
        <v>3.0</v>
      </c>
      <c r="C69" s="206" t="s">
        <v>1283</v>
      </c>
      <c r="D69" s="2" t="s">
        <v>1284</v>
      </c>
    </row>
    <row r="70">
      <c r="A70" s="203">
        <v>45626.0</v>
      </c>
      <c r="B70" s="202">
        <v>2.0</v>
      </c>
      <c r="C70" s="202" t="s">
        <v>1285</v>
      </c>
      <c r="D70" s="2" t="s">
        <v>1264</v>
      </c>
    </row>
    <row r="72">
      <c r="A72" s="197" t="s">
        <v>1286</v>
      </c>
    </row>
    <row r="73">
      <c r="A73" s="210">
        <v>45633.0</v>
      </c>
      <c r="B73" s="206">
        <v>2.0</v>
      </c>
      <c r="C73" s="206" t="s">
        <v>1287</v>
      </c>
    </row>
    <row r="75">
      <c r="A75" s="205">
        <v>45647.0</v>
      </c>
      <c r="B75" s="206">
        <v>4.0</v>
      </c>
      <c r="C75" s="206" t="s">
        <v>1288</v>
      </c>
      <c r="D75" s="2" t="s">
        <v>1289</v>
      </c>
    </row>
    <row r="76">
      <c r="A76" s="203">
        <v>45656.0</v>
      </c>
      <c r="B76" s="202">
        <v>3.0</v>
      </c>
      <c r="C76" s="202" t="s">
        <v>1290</v>
      </c>
      <c r="D76" s="2" t="s">
        <v>1291</v>
      </c>
    </row>
    <row r="77">
      <c r="A77" s="203">
        <v>45656.0</v>
      </c>
      <c r="B77" s="202">
        <v>2.0</v>
      </c>
      <c r="C77" s="202" t="s">
        <v>1292</v>
      </c>
    </row>
    <row r="78">
      <c r="A78" s="203">
        <v>45656.0</v>
      </c>
      <c r="B78" s="202">
        <v>3.0</v>
      </c>
      <c r="C78" s="202" t="s">
        <v>1293</v>
      </c>
    </row>
    <row r="80">
      <c r="A80" s="201">
        <v>45679.0</v>
      </c>
      <c r="B80" s="202">
        <v>3.0</v>
      </c>
      <c r="C80" s="202" t="s">
        <v>1294</v>
      </c>
    </row>
    <row r="81">
      <c r="A81" s="201">
        <v>45692.0</v>
      </c>
      <c r="B81" s="202">
        <v>2.0</v>
      </c>
      <c r="C81" s="202" t="s">
        <v>1295</v>
      </c>
      <c r="D81" s="2" t="s">
        <v>1296</v>
      </c>
    </row>
    <row r="82">
      <c r="A82" s="201">
        <v>45697.0</v>
      </c>
      <c r="B82" s="202">
        <v>3.0</v>
      </c>
      <c r="C82" s="202" t="s">
        <v>1297</v>
      </c>
      <c r="D82" s="2" t="s">
        <v>1298</v>
      </c>
    </row>
    <row r="85">
      <c r="A85" s="211">
        <v>2025.0</v>
      </c>
      <c r="B85" s="8"/>
      <c r="C85" s="9"/>
    </row>
    <row r="87">
      <c r="A87" s="197" t="s">
        <v>1299</v>
      </c>
    </row>
    <row r="88">
      <c r="A88" s="212" t="s">
        <v>1</v>
      </c>
      <c r="B88" s="212" t="s">
        <v>1230</v>
      </c>
      <c r="C88" s="212" t="s">
        <v>2</v>
      </c>
    </row>
    <row r="89">
      <c r="A89" s="213">
        <v>45787.0</v>
      </c>
      <c r="B89" s="214">
        <v>3.0</v>
      </c>
      <c r="C89" s="214" t="s">
        <v>1300</v>
      </c>
      <c r="D89" s="103">
        <v>160.0</v>
      </c>
      <c r="E89" s="2" t="s">
        <v>1301</v>
      </c>
    </row>
    <row r="93">
      <c r="A93" s="215" t="s">
        <v>1302</v>
      </c>
    </row>
    <row r="94">
      <c r="A94" s="213">
        <v>45815.0</v>
      </c>
      <c r="B94" s="214">
        <v>2.0</v>
      </c>
      <c r="C94" s="214" t="s">
        <v>1303</v>
      </c>
      <c r="D94" s="103">
        <v>160.0</v>
      </c>
      <c r="E94" s="2" t="s">
        <v>1301</v>
      </c>
    </row>
    <row r="95">
      <c r="A95" s="216">
        <v>45837.0</v>
      </c>
      <c r="B95" s="42">
        <v>2.0</v>
      </c>
      <c r="C95" s="42" t="s">
        <v>1304</v>
      </c>
    </row>
    <row r="98">
      <c r="A98" s="217" t="s">
        <v>1305</v>
      </c>
    </row>
    <row r="99">
      <c r="A99" s="213">
        <v>45850.0</v>
      </c>
      <c r="B99" s="214">
        <v>2.0</v>
      </c>
      <c r="C99" s="214" t="s">
        <v>1306</v>
      </c>
      <c r="D99" s="103">
        <v>160.0</v>
      </c>
      <c r="E99" s="2" t="s">
        <v>1301</v>
      </c>
    </row>
    <row r="101">
      <c r="A101" s="218" t="s">
        <v>1307</v>
      </c>
      <c r="B101" s="219"/>
      <c r="C101" s="219"/>
    </row>
    <row r="102">
      <c r="A102" s="220">
        <v>45878.0</v>
      </c>
      <c r="B102" s="221">
        <v>2.0</v>
      </c>
      <c r="C102" s="222" t="s">
        <v>1308</v>
      </c>
      <c r="D102" s="2" t="s">
        <v>68</v>
      </c>
    </row>
    <row r="103">
      <c r="A103" s="216">
        <v>45885.0</v>
      </c>
      <c r="B103" s="42">
        <v>2.0</v>
      </c>
      <c r="C103" s="42" t="s">
        <v>1309</v>
      </c>
      <c r="D103" s="2" t="s">
        <v>1310</v>
      </c>
    </row>
    <row r="104">
      <c r="A104" s="213">
        <v>45892.0</v>
      </c>
      <c r="B104" s="214">
        <v>2.0</v>
      </c>
      <c r="C104" s="214" t="s">
        <v>1311</v>
      </c>
      <c r="D104" s="103">
        <v>80.0</v>
      </c>
      <c r="E104" s="2" t="s">
        <v>1301</v>
      </c>
    </row>
    <row r="105">
      <c r="A105" s="213">
        <v>45892.0</v>
      </c>
      <c r="B105" s="214">
        <v>2.0</v>
      </c>
      <c r="C105" s="214" t="s">
        <v>539</v>
      </c>
      <c r="D105" s="103">
        <v>80.0</v>
      </c>
      <c r="E105" s="2" t="s">
        <v>1301</v>
      </c>
    </row>
    <row r="106">
      <c r="A106" s="213">
        <v>45899.0</v>
      </c>
      <c r="B106" s="214">
        <v>2.0</v>
      </c>
      <c r="C106" s="214" t="s">
        <v>1312</v>
      </c>
      <c r="D106" s="103">
        <v>80.0</v>
      </c>
    </row>
    <row r="107">
      <c r="A107" s="213">
        <v>45899.0</v>
      </c>
      <c r="B107" s="214">
        <v>2.0</v>
      </c>
      <c r="C107" s="214" t="s">
        <v>1313</v>
      </c>
      <c r="D107" s="103">
        <v>80.0</v>
      </c>
    </row>
    <row r="109">
      <c r="A109" s="217" t="s">
        <v>1227</v>
      </c>
    </row>
    <row r="110">
      <c r="A110" s="213">
        <v>45908.0</v>
      </c>
      <c r="B110" s="214">
        <v>2.0</v>
      </c>
      <c r="C110" s="214" t="s">
        <v>527</v>
      </c>
      <c r="D110" s="103">
        <v>80.0</v>
      </c>
      <c r="E110" s="2" t="s">
        <v>1301</v>
      </c>
    </row>
    <row r="111">
      <c r="A111" s="216">
        <v>45908.0</v>
      </c>
      <c r="B111" s="42">
        <v>2.0</v>
      </c>
      <c r="C111" s="42" t="s">
        <v>1314</v>
      </c>
      <c r="D111" s="103" t="s">
        <v>1310</v>
      </c>
    </row>
    <row r="112">
      <c r="A112" s="213">
        <v>45908.0</v>
      </c>
      <c r="B112" s="214">
        <v>4.0</v>
      </c>
      <c r="C112" s="214" t="s">
        <v>1315</v>
      </c>
      <c r="D112" s="103">
        <v>160.0</v>
      </c>
      <c r="E112" s="2" t="s">
        <v>1301</v>
      </c>
    </row>
    <row r="113">
      <c r="A113" s="213">
        <v>45913.0</v>
      </c>
      <c r="B113" s="214">
        <v>2.0</v>
      </c>
      <c r="C113" s="214" t="s">
        <v>1316</v>
      </c>
      <c r="D113" s="103">
        <v>80.0</v>
      </c>
      <c r="E113" s="2" t="s">
        <v>1301</v>
      </c>
    </row>
    <row r="114">
      <c r="A114" s="216">
        <v>45913.0</v>
      </c>
      <c r="B114" s="42">
        <v>2.0</v>
      </c>
      <c r="C114" s="42" t="s">
        <v>570</v>
      </c>
      <c r="D114" s="103"/>
      <c r="E114" s="2"/>
    </row>
    <row r="115">
      <c r="A115" s="213">
        <v>45913.0</v>
      </c>
      <c r="B115" s="214">
        <v>2.0</v>
      </c>
      <c r="C115" s="214" t="s">
        <v>1317</v>
      </c>
      <c r="D115" s="103">
        <v>80.0</v>
      </c>
      <c r="E115" s="2" t="s">
        <v>1301</v>
      </c>
    </row>
    <row r="116">
      <c r="A116" s="213">
        <v>45920.0</v>
      </c>
      <c r="B116" s="214">
        <v>2.0</v>
      </c>
      <c r="C116" s="214" t="s">
        <v>1318</v>
      </c>
      <c r="D116" s="223">
        <v>80.0</v>
      </c>
      <c r="E116" s="2" t="s">
        <v>1301</v>
      </c>
    </row>
    <row r="117">
      <c r="A117" s="213">
        <v>45920.0</v>
      </c>
      <c r="B117" s="214">
        <v>2.0</v>
      </c>
      <c r="C117" s="214" t="s">
        <v>561</v>
      </c>
      <c r="D117" s="223">
        <v>80.0</v>
      </c>
      <c r="E117" s="2" t="s">
        <v>1301</v>
      </c>
    </row>
    <row r="118">
      <c r="A118" s="213">
        <v>45920.0</v>
      </c>
      <c r="B118" s="214">
        <v>2.0</v>
      </c>
      <c r="C118" s="214" t="s">
        <v>1319</v>
      </c>
      <c r="D118" s="223">
        <v>80.0</v>
      </c>
      <c r="E118" s="2" t="s">
        <v>1301</v>
      </c>
    </row>
    <row r="119">
      <c r="A119" s="224">
        <v>45920.0</v>
      </c>
      <c r="B119" s="187">
        <v>2.0</v>
      </c>
      <c r="C119" s="187" t="s">
        <v>1320</v>
      </c>
      <c r="D119" s="223" t="s">
        <v>1310</v>
      </c>
    </row>
    <row r="120">
      <c r="A120" s="213">
        <v>45927.0</v>
      </c>
      <c r="B120" s="214">
        <v>2.0</v>
      </c>
      <c r="C120" s="214" t="s">
        <v>553</v>
      </c>
      <c r="D120" s="103">
        <v>80.0</v>
      </c>
      <c r="E120" s="2" t="s">
        <v>1301</v>
      </c>
    </row>
    <row r="121">
      <c r="A121" s="213">
        <v>45927.0</v>
      </c>
      <c r="B121" s="214">
        <v>2.0</v>
      </c>
      <c r="C121" s="214" t="s">
        <v>1321</v>
      </c>
      <c r="D121" s="103">
        <v>80.0</v>
      </c>
      <c r="E121" s="2" t="s">
        <v>1301</v>
      </c>
    </row>
    <row r="122">
      <c r="A122" s="213">
        <v>45927.0</v>
      </c>
      <c r="B122" s="214">
        <v>2.0</v>
      </c>
      <c r="C122" s="214" t="s">
        <v>1322</v>
      </c>
      <c r="D122" s="103">
        <v>80.0</v>
      </c>
      <c r="E122" s="2" t="s">
        <v>1301</v>
      </c>
    </row>
    <row r="123">
      <c r="D123" s="3"/>
    </row>
    <row r="124">
      <c r="A124" s="217" t="s">
        <v>1235</v>
      </c>
      <c r="D124" s="3"/>
    </row>
    <row r="125">
      <c r="A125" s="213">
        <v>45935.0</v>
      </c>
      <c r="B125" s="214">
        <v>2.0</v>
      </c>
      <c r="C125" s="214" t="s">
        <v>1323</v>
      </c>
      <c r="D125" s="103">
        <v>160.0</v>
      </c>
      <c r="E125" s="2" t="s">
        <v>1301</v>
      </c>
    </row>
    <row r="126">
      <c r="A126" s="213">
        <v>45941.0</v>
      </c>
      <c r="B126" s="214">
        <v>2.0</v>
      </c>
      <c r="C126" s="214" t="s">
        <v>1324</v>
      </c>
      <c r="D126" s="103">
        <v>80.0</v>
      </c>
      <c r="E126" s="2" t="s">
        <v>1301</v>
      </c>
    </row>
    <row r="127">
      <c r="A127" s="225">
        <v>45941.0</v>
      </c>
      <c r="B127" s="214">
        <v>3.0</v>
      </c>
      <c r="C127" s="214" t="s">
        <v>1325</v>
      </c>
      <c r="D127" s="103">
        <v>120.0</v>
      </c>
      <c r="E127" s="2" t="s">
        <v>1301</v>
      </c>
    </row>
    <row r="128">
      <c r="A128" s="225">
        <v>45941.0</v>
      </c>
      <c r="B128" s="214">
        <v>2.0</v>
      </c>
      <c r="C128" s="226" t="s">
        <v>1326</v>
      </c>
      <c r="D128" s="103">
        <v>80.0</v>
      </c>
      <c r="E128" s="2" t="s">
        <v>1301</v>
      </c>
    </row>
    <row r="129">
      <c r="A129" s="225">
        <v>45941.0</v>
      </c>
      <c r="B129" s="214">
        <v>2.0</v>
      </c>
      <c r="C129" s="214" t="s">
        <v>1327</v>
      </c>
      <c r="D129" s="103">
        <v>80.0</v>
      </c>
      <c r="E129" s="2" t="s">
        <v>1301</v>
      </c>
    </row>
    <row r="130">
      <c r="A130" s="225">
        <v>45948.0</v>
      </c>
      <c r="B130" s="214">
        <v>2.0</v>
      </c>
      <c r="C130" s="214" t="s">
        <v>597</v>
      </c>
      <c r="D130" s="103">
        <v>160.0</v>
      </c>
    </row>
    <row r="131">
      <c r="A131" s="227">
        <v>45948.0</v>
      </c>
      <c r="B131" s="42">
        <v>2.0</v>
      </c>
      <c r="C131" s="42" t="s">
        <v>1328</v>
      </c>
      <c r="D131" s="103" t="s">
        <v>1310</v>
      </c>
    </row>
    <row r="132">
      <c r="A132" s="225">
        <v>45955.0</v>
      </c>
      <c r="B132" s="214">
        <v>2.0</v>
      </c>
      <c r="C132" s="214" t="s">
        <v>1329</v>
      </c>
      <c r="D132" s="103">
        <v>80.0</v>
      </c>
      <c r="E132" s="2" t="s">
        <v>1301</v>
      </c>
    </row>
    <row r="133">
      <c r="A133" s="213">
        <v>45955.0</v>
      </c>
      <c r="B133" s="214">
        <v>2.0</v>
      </c>
      <c r="C133" s="214" t="s">
        <v>632</v>
      </c>
      <c r="D133" s="103">
        <v>80.0</v>
      </c>
      <c r="E133" s="2" t="s">
        <v>1301</v>
      </c>
    </row>
    <row r="134">
      <c r="A134" s="213">
        <v>45955.0</v>
      </c>
      <c r="B134" s="214">
        <v>2.0</v>
      </c>
      <c r="C134" s="214" t="s">
        <v>1330</v>
      </c>
      <c r="D134" s="103">
        <v>80.0</v>
      </c>
      <c r="E134" s="2" t="s">
        <v>1301</v>
      </c>
    </row>
    <row r="135">
      <c r="A135" s="216">
        <v>45955.0</v>
      </c>
      <c r="B135" s="42">
        <v>2.0</v>
      </c>
      <c r="C135" s="42" t="s">
        <v>1331</v>
      </c>
      <c r="D135" s="103" t="s">
        <v>1332</v>
      </c>
    </row>
    <row r="136">
      <c r="A136" s="213">
        <v>45962.0</v>
      </c>
      <c r="B136" s="214">
        <v>2.0</v>
      </c>
      <c r="C136" s="214" t="s">
        <v>1333</v>
      </c>
      <c r="D136" s="103">
        <v>80.0</v>
      </c>
      <c r="E136" s="2" t="s">
        <v>1301</v>
      </c>
    </row>
    <row r="137">
      <c r="D137" s="3"/>
    </row>
    <row r="138">
      <c r="A138" s="217" t="s">
        <v>1286</v>
      </c>
    </row>
    <row r="139">
      <c r="A139" s="1" t="s">
        <v>1334</v>
      </c>
      <c r="B139" s="1">
        <v>3.0</v>
      </c>
      <c r="C139" s="1" t="s">
        <v>498</v>
      </c>
    </row>
    <row r="143">
      <c r="A143" s="217" t="s">
        <v>1335</v>
      </c>
    </row>
    <row r="144">
      <c r="A144" s="228" t="s">
        <v>1336</v>
      </c>
      <c r="B144" s="228">
        <v>4.0</v>
      </c>
      <c r="C144" s="228" t="s">
        <v>1337</v>
      </c>
      <c r="D144" s="2" t="s">
        <v>1338</v>
      </c>
    </row>
  </sheetData>
  <mergeCells count="2">
    <mergeCell ref="A1:C1"/>
    <mergeCell ref="A85:C8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5.63"/>
    <col customWidth="1" min="3" max="3" width="15.0"/>
    <col customWidth="1" min="4" max="4" width="11.75"/>
    <col customWidth="1" min="5" max="5" width="11.25"/>
    <col customWidth="1" min="6" max="6" width="15.0"/>
    <col customWidth="1" min="7" max="7" width="11.38"/>
    <col customWidth="1" min="8" max="8" width="46.25"/>
    <col customWidth="1" min="9" max="27" width="8.63"/>
  </cols>
  <sheetData>
    <row r="1">
      <c r="A1" s="229" t="s">
        <v>1339</v>
      </c>
      <c r="B1" s="8"/>
      <c r="C1" s="8"/>
      <c r="D1" s="8"/>
      <c r="E1" s="8"/>
      <c r="F1" s="8"/>
      <c r="G1" s="8"/>
      <c r="H1" s="9"/>
    </row>
    <row r="2">
      <c r="E2" s="3"/>
      <c r="G2" s="3"/>
    </row>
    <row r="3">
      <c r="A3" s="12"/>
      <c r="B3" s="12" t="s">
        <v>2</v>
      </c>
      <c r="C3" s="12" t="s">
        <v>991</v>
      </c>
      <c r="D3" s="12" t="s">
        <v>1340</v>
      </c>
      <c r="E3" s="13" t="s">
        <v>1341</v>
      </c>
      <c r="F3" s="12" t="s">
        <v>1342</v>
      </c>
      <c r="G3" s="14" t="s">
        <v>5</v>
      </c>
      <c r="H3" s="12" t="s">
        <v>1343</v>
      </c>
    </row>
    <row r="4">
      <c r="A4" s="230" t="s">
        <v>1227</v>
      </c>
      <c r="B4" s="231" t="s">
        <v>1344</v>
      </c>
      <c r="C4" s="231" t="s">
        <v>43</v>
      </c>
      <c r="D4" s="231" t="s">
        <v>23</v>
      </c>
      <c r="E4" s="232">
        <v>397.31</v>
      </c>
      <c r="F4" s="233" t="s">
        <v>1345</v>
      </c>
      <c r="G4" s="232">
        <v>397.31</v>
      </c>
      <c r="H4" s="32"/>
    </row>
    <row r="5">
      <c r="A5" s="234"/>
      <c r="B5" s="19" t="s">
        <v>1346</v>
      </c>
      <c r="C5" s="19" t="s">
        <v>43</v>
      </c>
      <c r="D5" s="19" t="s">
        <v>10</v>
      </c>
      <c r="E5" s="25">
        <v>357.58</v>
      </c>
      <c r="F5" s="235" t="s">
        <v>1347</v>
      </c>
      <c r="G5" s="16"/>
      <c r="H5" s="19" t="s">
        <v>32</v>
      </c>
    </row>
    <row r="6">
      <c r="A6" s="234"/>
      <c r="B6" s="28" t="s">
        <v>1348</v>
      </c>
      <c r="C6" s="28" t="s">
        <v>1349</v>
      </c>
      <c r="D6" s="28" t="s">
        <v>10</v>
      </c>
      <c r="E6" s="29">
        <v>337.71</v>
      </c>
      <c r="F6" s="236" t="s">
        <v>1350</v>
      </c>
      <c r="G6" s="237">
        <v>337.71</v>
      </c>
      <c r="H6" s="32"/>
    </row>
    <row r="7">
      <c r="A7" s="234"/>
      <c r="B7" s="41" t="s">
        <v>1351</v>
      </c>
      <c r="C7" s="41" t="s">
        <v>1352</v>
      </c>
      <c r="D7" s="41" t="s">
        <v>31</v>
      </c>
      <c r="E7" s="237">
        <v>675.42</v>
      </c>
      <c r="F7" s="238" t="s">
        <v>1353</v>
      </c>
      <c r="G7" s="237">
        <v>675.42</v>
      </c>
      <c r="H7" s="32"/>
    </row>
    <row r="8">
      <c r="A8" s="234"/>
      <c r="B8" s="239" t="s">
        <v>1354</v>
      </c>
      <c r="C8" s="19" t="s">
        <v>58</v>
      </c>
      <c r="D8" s="19" t="s">
        <v>31</v>
      </c>
      <c r="E8" s="25">
        <v>715.16</v>
      </c>
      <c r="F8" s="239" t="s">
        <v>1355</v>
      </c>
      <c r="G8" s="16"/>
      <c r="H8" s="19" t="s">
        <v>1356</v>
      </c>
    </row>
    <row r="9">
      <c r="A9" s="240"/>
      <c r="B9" s="59" t="s">
        <v>1357</v>
      </c>
      <c r="C9" s="28" t="s">
        <v>58</v>
      </c>
      <c r="D9" s="28" t="s">
        <v>167</v>
      </c>
      <c r="E9" s="29">
        <v>1190.0</v>
      </c>
      <c r="F9" s="59" t="s">
        <v>1358</v>
      </c>
      <c r="G9" s="237">
        <v>1190.0</v>
      </c>
      <c r="H9" s="32"/>
    </row>
    <row r="10">
      <c r="B10" s="32"/>
      <c r="C10" s="32"/>
      <c r="D10" s="32"/>
      <c r="E10" s="241"/>
      <c r="F10" s="242"/>
      <c r="G10" s="241"/>
      <c r="H10" s="32"/>
    </row>
    <row r="11">
      <c r="A11" s="243" t="s">
        <v>1235</v>
      </c>
      <c r="B11" s="38" t="s">
        <v>1018</v>
      </c>
      <c r="C11" s="38" t="s">
        <v>1359</v>
      </c>
      <c r="D11" s="38" t="s">
        <v>31</v>
      </c>
      <c r="E11" s="244">
        <v>721.66</v>
      </c>
      <c r="F11" s="245" t="s">
        <v>1360</v>
      </c>
      <c r="G11" s="237">
        <v>721.66</v>
      </c>
      <c r="H11" s="38"/>
    </row>
    <row r="12">
      <c r="A12" s="234"/>
      <c r="B12" s="38" t="s">
        <v>1361</v>
      </c>
      <c r="C12" s="28" t="s">
        <v>1362</v>
      </c>
      <c r="D12" s="28" t="s">
        <v>23</v>
      </c>
      <c r="E12" s="29">
        <v>912.8</v>
      </c>
      <c r="F12" s="246" t="s">
        <v>1363</v>
      </c>
      <c r="G12" s="237">
        <v>912.8</v>
      </c>
      <c r="H12" s="247" t="s">
        <v>1364</v>
      </c>
    </row>
    <row r="13">
      <c r="A13" s="234"/>
      <c r="B13" s="15" t="s">
        <v>1365</v>
      </c>
      <c r="C13" s="15" t="s">
        <v>1366</v>
      </c>
      <c r="D13" s="15" t="s">
        <v>31</v>
      </c>
      <c r="E13" s="16">
        <v>1093.12</v>
      </c>
      <c r="F13" s="248" t="s">
        <v>1367</v>
      </c>
      <c r="G13" s="25"/>
      <c r="H13" s="19" t="s">
        <v>68</v>
      </c>
    </row>
    <row r="14">
      <c r="A14" s="234"/>
      <c r="B14" s="38" t="s">
        <v>1368</v>
      </c>
      <c r="C14" s="38" t="s">
        <v>1369</v>
      </c>
      <c r="D14" s="38" t="s">
        <v>10</v>
      </c>
      <c r="E14" s="244">
        <v>841.68</v>
      </c>
      <c r="F14" s="245">
        <v>9.547762E8</v>
      </c>
      <c r="G14" s="237">
        <v>841.68</v>
      </c>
      <c r="H14" s="32" t="s">
        <v>1370</v>
      </c>
    </row>
    <row r="15">
      <c r="A15" s="234"/>
      <c r="B15" s="38" t="s">
        <v>1371</v>
      </c>
      <c r="C15" s="38" t="s">
        <v>1372</v>
      </c>
      <c r="D15" s="38" t="s">
        <v>20</v>
      </c>
      <c r="E15" s="244">
        <v>453.39</v>
      </c>
      <c r="F15" s="245" t="s">
        <v>1373</v>
      </c>
      <c r="G15" s="237">
        <v>453.39</v>
      </c>
      <c r="H15" s="32"/>
    </row>
    <row r="16">
      <c r="A16" s="234"/>
      <c r="B16" s="59" t="s">
        <v>1374</v>
      </c>
      <c r="C16" s="45" t="s">
        <v>49</v>
      </c>
      <c r="D16" s="45" t="s">
        <v>153</v>
      </c>
      <c r="E16" s="46">
        <v>617.44</v>
      </c>
      <c r="F16" s="59" t="s">
        <v>1375</v>
      </c>
      <c r="G16" s="46">
        <v>617.44</v>
      </c>
      <c r="H16" s="45"/>
    </row>
    <row r="17">
      <c r="A17" s="240"/>
      <c r="B17" s="68" t="s">
        <v>1376</v>
      </c>
      <c r="C17" s="45" t="s">
        <v>1377</v>
      </c>
      <c r="D17" s="45" t="s">
        <v>20</v>
      </c>
      <c r="E17" s="46">
        <v>479.7</v>
      </c>
      <c r="F17" s="68" t="s">
        <v>1378</v>
      </c>
      <c r="G17" s="57">
        <v>479.7</v>
      </c>
      <c r="H17" s="10"/>
    </row>
    <row r="18">
      <c r="E18" s="3"/>
      <c r="G18" s="3"/>
    </row>
    <row r="19" ht="15.0" customHeight="1">
      <c r="A19" s="249" t="s">
        <v>1258</v>
      </c>
      <c r="B19" s="38" t="s">
        <v>1379</v>
      </c>
      <c r="C19" s="38" t="s">
        <v>152</v>
      </c>
      <c r="D19" s="38" t="s">
        <v>20</v>
      </c>
      <c r="E19" s="244">
        <v>1076.49</v>
      </c>
      <c r="F19" s="245" t="s">
        <v>1380</v>
      </c>
      <c r="G19" s="237">
        <v>1076.49</v>
      </c>
      <c r="H19" s="41" t="s">
        <v>1381</v>
      </c>
    </row>
    <row r="20">
      <c r="A20" s="234"/>
      <c r="B20" s="15" t="s">
        <v>1382</v>
      </c>
      <c r="C20" s="15" t="s">
        <v>89</v>
      </c>
      <c r="D20" s="15" t="s">
        <v>31</v>
      </c>
      <c r="E20" s="16">
        <v>1696.6</v>
      </c>
      <c r="F20" s="250" t="s">
        <v>1383</v>
      </c>
      <c r="G20" s="16"/>
      <c r="H20" s="19" t="s">
        <v>32</v>
      </c>
    </row>
    <row r="21">
      <c r="A21" s="234"/>
      <c r="B21" s="58" t="s">
        <v>1384</v>
      </c>
      <c r="C21" s="19" t="s">
        <v>152</v>
      </c>
      <c r="D21" s="19" t="s">
        <v>23</v>
      </c>
      <c r="E21" s="25">
        <v>1599.0</v>
      </c>
      <c r="F21" s="58" t="s">
        <v>1385</v>
      </c>
      <c r="G21" s="25">
        <v>1599.0</v>
      </c>
      <c r="H21" s="19" t="s">
        <v>32</v>
      </c>
    </row>
    <row r="22" ht="15.0" customHeight="1">
      <c r="A22" s="234"/>
      <c r="B22" s="58" t="s">
        <v>1386</v>
      </c>
      <c r="C22" s="42" t="s">
        <v>1387</v>
      </c>
      <c r="D22" s="42" t="s">
        <v>10</v>
      </c>
      <c r="E22" s="25">
        <v>1093.83</v>
      </c>
      <c r="F22" s="58" t="s">
        <v>1388</v>
      </c>
      <c r="G22" s="251"/>
      <c r="H22" s="42" t="s">
        <v>32</v>
      </c>
    </row>
    <row r="23">
      <c r="A23" s="234"/>
      <c r="B23" s="58" t="s">
        <v>1389</v>
      </c>
      <c r="C23" s="42" t="s">
        <v>152</v>
      </c>
      <c r="D23" s="42" t="s">
        <v>153</v>
      </c>
      <c r="E23" s="25">
        <v>1658.52</v>
      </c>
      <c r="F23" s="58">
        <v>4.1996448388E10</v>
      </c>
      <c r="G23" s="251"/>
      <c r="H23" s="42" t="s">
        <v>32</v>
      </c>
    </row>
    <row r="24">
      <c r="A24" s="234"/>
      <c r="B24" s="45" t="s">
        <v>1390</v>
      </c>
      <c r="C24" s="45" t="s">
        <v>140</v>
      </c>
      <c r="D24" s="45" t="s">
        <v>31</v>
      </c>
      <c r="E24" s="29">
        <v>683.0</v>
      </c>
      <c r="F24" s="252" t="s">
        <v>1391</v>
      </c>
      <c r="G24" s="46">
        <v>683.0</v>
      </c>
      <c r="H24" s="10"/>
    </row>
    <row r="25">
      <c r="A25" s="234"/>
      <c r="B25" s="69" t="s">
        <v>1392</v>
      </c>
      <c r="C25" s="42" t="s">
        <v>152</v>
      </c>
      <c r="D25" s="42" t="s">
        <v>153</v>
      </c>
      <c r="E25" s="25">
        <v>1332.33</v>
      </c>
      <c r="F25" s="69" t="s">
        <v>1393</v>
      </c>
      <c r="G25" s="251"/>
      <c r="H25" s="42" t="s">
        <v>32</v>
      </c>
    </row>
    <row r="26">
      <c r="A26" s="234"/>
      <c r="B26" s="69" t="s">
        <v>1394</v>
      </c>
      <c r="C26" s="42" t="s">
        <v>55</v>
      </c>
      <c r="D26" s="42" t="s">
        <v>185</v>
      </c>
      <c r="E26" s="25">
        <v>3098.25</v>
      </c>
      <c r="F26" s="69" t="s">
        <v>1395</v>
      </c>
      <c r="G26" s="251"/>
      <c r="H26" s="42" t="s">
        <v>32</v>
      </c>
    </row>
    <row r="27">
      <c r="A27" s="234"/>
      <c r="B27" s="68" t="s">
        <v>1396</v>
      </c>
      <c r="C27" s="45" t="s">
        <v>1397</v>
      </c>
      <c r="D27" s="45" t="s">
        <v>153</v>
      </c>
      <c r="E27" s="29">
        <v>926.24</v>
      </c>
      <c r="F27" s="68" t="s">
        <v>1398</v>
      </c>
      <c r="G27" s="57">
        <v>926.24</v>
      </c>
      <c r="H27" s="48"/>
    </row>
    <row r="28">
      <c r="A28" s="234"/>
      <c r="B28" s="68" t="s">
        <v>1399</v>
      </c>
      <c r="C28" s="45" t="s">
        <v>209</v>
      </c>
      <c r="D28" s="45" t="s">
        <v>153</v>
      </c>
      <c r="E28" s="29">
        <v>1100.08</v>
      </c>
      <c r="F28" s="68" t="s">
        <v>1400</v>
      </c>
      <c r="G28" s="57">
        <v>1100.08</v>
      </c>
      <c r="H28" s="10"/>
    </row>
    <row r="29">
      <c r="A29" s="234"/>
      <c r="B29" s="68" t="s">
        <v>1401</v>
      </c>
      <c r="C29" s="45" t="s">
        <v>1402</v>
      </c>
      <c r="D29" s="45" t="s">
        <v>185</v>
      </c>
      <c r="E29" s="29">
        <v>1344.7</v>
      </c>
      <c r="F29" s="68" t="s">
        <v>1403</v>
      </c>
      <c r="G29" s="57">
        <v>1344.7</v>
      </c>
      <c r="H29" s="48"/>
    </row>
    <row r="30">
      <c r="A30" s="234"/>
      <c r="B30" s="45" t="s">
        <v>1404</v>
      </c>
      <c r="C30" s="45" t="s">
        <v>1405</v>
      </c>
      <c r="D30" s="45" t="s">
        <v>113</v>
      </c>
      <c r="E30" s="29">
        <v>392.7</v>
      </c>
      <c r="F30" s="73" t="s">
        <v>1406</v>
      </c>
      <c r="G30" s="46">
        <v>392.7</v>
      </c>
      <c r="H30" s="10"/>
    </row>
    <row r="31">
      <c r="A31" s="234"/>
      <c r="B31" s="68" t="s">
        <v>1407</v>
      </c>
      <c r="C31" s="45" t="s">
        <v>1408</v>
      </c>
      <c r="D31" s="45" t="s">
        <v>153</v>
      </c>
      <c r="E31" s="29">
        <v>990.76</v>
      </c>
      <c r="F31" s="68" t="s">
        <v>1409</v>
      </c>
      <c r="G31" s="57">
        <v>990.76</v>
      </c>
      <c r="H31" s="48"/>
    </row>
    <row r="32">
      <c r="A32" s="240"/>
      <c r="B32" s="68" t="s">
        <v>1410</v>
      </c>
      <c r="C32" s="45" t="s">
        <v>1411</v>
      </c>
      <c r="D32" s="45" t="s">
        <v>31</v>
      </c>
      <c r="E32" s="29">
        <v>449.1</v>
      </c>
      <c r="F32" s="68" t="s">
        <v>1412</v>
      </c>
      <c r="G32" s="46">
        <v>449.1</v>
      </c>
      <c r="H32" s="10"/>
    </row>
    <row r="33">
      <c r="A33" s="253"/>
      <c r="E33" s="254"/>
      <c r="F33" s="255"/>
      <c r="G33" s="3"/>
    </row>
    <row r="34">
      <c r="A34" s="230" t="s">
        <v>1286</v>
      </c>
      <c r="B34" s="42" t="s">
        <v>1413</v>
      </c>
      <c r="C34" s="42" t="s">
        <v>1414</v>
      </c>
      <c r="D34" s="42" t="s">
        <v>20</v>
      </c>
      <c r="E34" s="25">
        <v>2710.8</v>
      </c>
      <c r="F34" s="250" t="s">
        <v>1415</v>
      </c>
      <c r="G34" s="251"/>
      <c r="H34" s="42" t="s">
        <v>32</v>
      </c>
    </row>
    <row r="35">
      <c r="A35" s="234"/>
      <c r="B35" s="239" t="s">
        <v>1416</v>
      </c>
      <c r="C35" s="42" t="s">
        <v>1417</v>
      </c>
      <c r="D35" s="42" t="s">
        <v>31</v>
      </c>
      <c r="E35" s="25">
        <v>1721.76</v>
      </c>
      <c r="F35" s="58" t="s">
        <v>1418</v>
      </c>
      <c r="G35" s="251"/>
      <c r="H35" s="42" t="s">
        <v>32</v>
      </c>
    </row>
    <row r="36">
      <c r="A36" s="234"/>
      <c r="B36" s="42" t="s">
        <v>1419</v>
      </c>
      <c r="C36" s="42" t="s">
        <v>1420</v>
      </c>
      <c r="D36" s="42" t="s">
        <v>20</v>
      </c>
      <c r="E36" s="25">
        <v>972.3</v>
      </c>
      <c r="F36" s="58" t="s">
        <v>1421</v>
      </c>
      <c r="G36" s="251"/>
      <c r="H36" s="42" t="s">
        <v>32</v>
      </c>
    </row>
    <row r="37">
      <c r="A37" s="234"/>
      <c r="B37" s="239" t="s">
        <v>1422</v>
      </c>
      <c r="C37" s="42" t="s">
        <v>1423</v>
      </c>
      <c r="D37" s="42" t="s">
        <v>31</v>
      </c>
      <c r="E37" s="25">
        <v>865.28</v>
      </c>
      <c r="F37" s="58" t="s">
        <v>1424</v>
      </c>
      <c r="G37" s="251"/>
      <c r="H37" s="42" t="s">
        <v>1425</v>
      </c>
    </row>
    <row r="38">
      <c r="A38" s="234"/>
      <c r="B38" s="58" t="s">
        <v>1426</v>
      </c>
      <c r="C38" s="42" t="s">
        <v>1427</v>
      </c>
      <c r="D38" s="42" t="s">
        <v>1428</v>
      </c>
      <c r="E38" s="25">
        <v>1397.76</v>
      </c>
      <c r="F38" s="58" t="s">
        <v>1429</v>
      </c>
      <c r="G38" s="251"/>
      <c r="H38" s="42" t="s">
        <v>1425</v>
      </c>
    </row>
    <row r="39">
      <c r="A39" s="234"/>
      <c r="B39" s="58" t="s">
        <v>1430</v>
      </c>
      <c r="C39" s="42" t="s">
        <v>1431</v>
      </c>
      <c r="D39" s="42" t="s">
        <v>20</v>
      </c>
      <c r="E39" s="25">
        <v>2604.4</v>
      </c>
      <c r="F39" s="58" t="s">
        <v>1432</v>
      </c>
      <c r="G39" s="251"/>
      <c r="H39" s="42" t="s">
        <v>1433</v>
      </c>
    </row>
    <row r="40">
      <c r="A40" s="234"/>
      <c r="B40" s="68" t="s">
        <v>1434</v>
      </c>
      <c r="C40" s="45" t="s">
        <v>1435</v>
      </c>
      <c r="D40" s="45" t="s">
        <v>31</v>
      </c>
      <c r="E40" s="29">
        <v>925.66</v>
      </c>
      <c r="F40" s="59" t="s">
        <v>1436</v>
      </c>
      <c r="G40" s="74"/>
      <c r="H40" s="10"/>
    </row>
    <row r="41">
      <c r="A41" s="234"/>
      <c r="B41" s="69" t="s">
        <v>1437</v>
      </c>
      <c r="C41" s="42" t="s">
        <v>1438</v>
      </c>
      <c r="D41" s="42" t="s">
        <v>31</v>
      </c>
      <c r="E41" s="25">
        <v>5844.8</v>
      </c>
      <c r="F41" s="69" t="s">
        <v>1439</v>
      </c>
      <c r="G41" s="251"/>
      <c r="H41" s="42" t="s">
        <v>32</v>
      </c>
    </row>
    <row r="42">
      <c r="A42" s="234"/>
      <c r="B42" s="256" t="s">
        <v>1440</v>
      </c>
      <c r="C42" s="1" t="s">
        <v>1441</v>
      </c>
      <c r="D42" s="1" t="s">
        <v>153</v>
      </c>
      <c r="E42" s="257">
        <v>5367.6</v>
      </c>
      <c r="F42" s="256" t="s">
        <v>1442</v>
      </c>
      <c r="G42" s="94"/>
      <c r="H42" s="10"/>
    </row>
    <row r="43">
      <c r="A43" s="234"/>
      <c r="B43" s="68" t="s">
        <v>1443</v>
      </c>
      <c r="C43" s="45" t="s">
        <v>1444</v>
      </c>
      <c r="D43" s="45" t="s">
        <v>122</v>
      </c>
      <c r="E43" s="29">
        <v>1615.68</v>
      </c>
      <c r="F43" s="68" t="s">
        <v>1445</v>
      </c>
      <c r="G43" s="94"/>
      <c r="H43" s="10"/>
    </row>
    <row r="44">
      <c r="A44" s="234"/>
      <c r="B44" s="68" t="s">
        <v>1446</v>
      </c>
      <c r="C44" s="45" t="s">
        <v>1447</v>
      </c>
      <c r="D44" s="45" t="s">
        <v>113</v>
      </c>
      <c r="E44" s="29">
        <v>3003.2</v>
      </c>
      <c r="F44" s="68" t="s">
        <v>1448</v>
      </c>
      <c r="G44" s="94"/>
      <c r="H44" s="10"/>
    </row>
    <row r="45">
      <c r="A45" s="234"/>
      <c r="B45" s="258" t="s">
        <v>1449</v>
      </c>
      <c r="C45" s="259" t="s">
        <v>1450</v>
      </c>
      <c r="D45" s="259" t="s">
        <v>153</v>
      </c>
      <c r="E45" s="260">
        <v>6866.0</v>
      </c>
      <c r="F45" s="258" t="s">
        <v>1451</v>
      </c>
      <c r="G45" s="261"/>
      <c r="H45" s="259" t="s">
        <v>1452</v>
      </c>
    </row>
    <row r="46">
      <c r="A46" s="234"/>
      <c r="B46" s="68" t="s">
        <v>1453</v>
      </c>
      <c r="C46" s="45" t="s">
        <v>170</v>
      </c>
      <c r="D46" s="45" t="s">
        <v>153</v>
      </c>
      <c r="E46" s="29">
        <v>763.48</v>
      </c>
      <c r="F46" s="68" t="s">
        <v>1454</v>
      </c>
      <c r="G46" s="94"/>
      <c r="H46" s="10"/>
    </row>
    <row r="47">
      <c r="A47" s="234"/>
      <c r="B47" s="68" t="s">
        <v>1455</v>
      </c>
      <c r="C47" s="45" t="s">
        <v>1456</v>
      </c>
      <c r="D47" s="45" t="s">
        <v>153</v>
      </c>
      <c r="E47" s="29">
        <v>721.06</v>
      </c>
      <c r="F47" s="68" t="s">
        <v>1457</v>
      </c>
      <c r="G47" s="94"/>
      <c r="H47" s="10"/>
    </row>
    <row r="48">
      <c r="A48" s="234"/>
      <c r="B48" s="68" t="s">
        <v>1458</v>
      </c>
      <c r="C48" s="45" t="s">
        <v>170</v>
      </c>
      <c r="D48" s="45" t="s">
        <v>31</v>
      </c>
      <c r="E48" s="29">
        <v>678.74</v>
      </c>
      <c r="F48" s="68" t="s">
        <v>1459</v>
      </c>
      <c r="G48" s="94"/>
      <c r="H48" s="10"/>
    </row>
    <row r="49">
      <c r="A49" s="234"/>
      <c r="B49" s="68" t="s">
        <v>1460</v>
      </c>
      <c r="C49" s="45" t="s">
        <v>1461</v>
      </c>
      <c r="D49" s="45" t="s">
        <v>122</v>
      </c>
      <c r="E49" s="29">
        <v>1416.95</v>
      </c>
      <c r="F49" s="68" t="s">
        <v>1462</v>
      </c>
      <c r="G49" s="94"/>
      <c r="H49" s="10"/>
    </row>
    <row r="50">
      <c r="A50" s="234"/>
      <c r="B50" s="68" t="s">
        <v>1463</v>
      </c>
      <c r="C50" s="45" t="s">
        <v>1464</v>
      </c>
      <c r="D50" s="45" t="s">
        <v>122</v>
      </c>
      <c r="E50" s="29">
        <v>4995.0</v>
      </c>
      <c r="F50" s="68" t="s">
        <v>1465</v>
      </c>
      <c r="G50" s="94"/>
      <c r="H50" s="10"/>
    </row>
    <row r="51">
      <c r="A51" s="240"/>
      <c r="B51" s="256" t="s">
        <v>1466</v>
      </c>
      <c r="C51" s="1" t="s">
        <v>1467</v>
      </c>
      <c r="D51" s="1" t="s">
        <v>153</v>
      </c>
      <c r="E51" s="257">
        <v>675.2</v>
      </c>
      <c r="F51" s="256" t="s">
        <v>1468</v>
      </c>
      <c r="G51" s="94"/>
      <c r="H51" s="10"/>
    </row>
    <row r="52">
      <c r="A52" s="253"/>
      <c r="E52" s="254"/>
      <c r="F52" s="255"/>
      <c r="G52" s="3"/>
    </row>
    <row r="53">
      <c r="A53" s="230" t="s">
        <v>1335</v>
      </c>
      <c r="B53" s="45" t="s">
        <v>1469</v>
      </c>
      <c r="C53" s="45" t="s">
        <v>1470</v>
      </c>
      <c r="D53" s="45" t="s">
        <v>31</v>
      </c>
      <c r="E53" s="29">
        <v>6664.0</v>
      </c>
      <c r="F53" s="59" t="s">
        <v>1471</v>
      </c>
      <c r="G53" s="94"/>
      <c r="H53" s="10"/>
    </row>
    <row r="54">
      <c r="A54" s="234"/>
      <c r="B54" s="239" t="s">
        <v>1472</v>
      </c>
      <c r="C54" s="42" t="s">
        <v>1473</v>
      </c>
      <c r="D54" s="42" t="s">
        <v>128</v>
      </c>
      <c r="E54" s="25">
        <v>5763.0</v>
      </c>
      <c r="F54" s="239" t="s">
        <v>1474</v>
      </c>
      <c r="G54" s="251"/>
      <c r="H54" s="42" t="s">
        <v>32</v>
      </c>
    </row>
    <row r="55">
      <c r="A55" s="234"/>
      <c r="B55" s="45" t="s">
        <v>1475</v>
      </c>
      <c r="C55" s="45" t="s">
        <v>1476</v>
      </c>
      <c r="D55" s="45" t="s">
        <v>128</v>
      </c>
      <c r="E55" s="29">
        <v>2305.2</v>
      </c>
      <c r="F55" s="59">
        <v>9.91501589E8</v>
      </c>
      <c r="G55" s="94"/>
      <c r="H55" s="10"/>
    </row>
    <row r="56">
      <c r="A56" s="234"/>
      <c r="B56" s="236" t="s">
        <v>1477</v>
      </c>
      <c r="C56" s="45" t="s">
        <v>1478</v>
      </c>
      <c r="D56" s="45" t="s">
        <v>20</v>
      </c>
      <c r="E56" s="29">
        <v>2550.0</v>
      </c>
      <c r="F56" s="236" t="s">
        <v>1479</v>
      </c>
      <c r="G56" s="94"/>
      <c r="H56" s="10"/>
    </row>
    <row r="57">
      <c r="A57" s="234"/>
      <c r="B57" s="58" t="s">
        <v>1480</v>
      </c>
      <c r="C57" s="42" t="s">
        <v>1481</v>
      </c>
      <c r="D57" s="42" t="s">
        <v>1428</v>
      </c>
      <c r="E57" s="25">
        <v>2169.6</v>
      </c>
      <c r="F57" s="58" t="s">
        <v>1482</v>
      </c>
      <c r="G57" s="251"/>
      <c r="H57" s="42" t="s">
        <v>1483</v>
      </c>
    </row>
    <row r="58">
      <c r="A58" s="234"/>
      <c r="B58" s="59" t="s">
        <v>1484</v>
      </c>
      <c r="C58" s="61" t="s">
        <v>1485</v>
      </c>
      <c r="D58" s="45" t="s">
        <v>113</v>
      </c>
      <c r="E58" s="29">
        <v>2940.0</v>
      </c>
      <c r="F58" s="59" t="s">
        <v>1486</v>
      </c>
      <c r="G58" s="94"/>
      <c r="H58" s="10"/>
    </row>
    <row r="59">
      <c r="A59" s="234"/>
      <c r="B59" s="58" t="s">
        <v>1487</v>
      </c>
      <c r="C59" s="42" t="s">
        <v>1488</v>
      </c>
      <c r="D59" s="42" t="s">
        <v>50</v>
      </c>
      <c r="E59" s="25">
        <v>4798.08</v>
      </c>
      <c r="F59" s="58" t="s">
        <v>1489</v>
      </c>
      <c r="G59" s="251"/>
      <c r="H59" s="42" t="s">
        <v>68</v>
      </c>
    </row>
    <row r="60">
      <c r="A60" s="234"/>
      <c r="B60" s="59" t="s">
        <v>1490</v>
      </c>
      <c r="C60" s="45" t="s">
        <v>1491</v>
      </c>
      <c r="D60" s="45" t="s">
        <v>50</v>
      </c>
      <c r="E60" s="29">
        <v>5138.42</v>
      </c>
      <c r="F60" s="59" t="s">
        <v>1492</v>
      </c>
      <c r="G60" s="94"/>
      <c r="H60" s="10"/>
    </row>
    <row r="61">
      <c r="A61" s="234"/>
      <c r="B61" s="256" t="s">
        <v>1493</v>
      </c>
      <c r="C61" s="1" t="s">
        <v>1494</v>
      </c>
      <c r="D61" s="1" t="s">
        <v>113</v>
      </c>
      <c r="E61" s="257">
        <v>3108.96</v>
      </c>
      <c r="F61" s="256" t="s">
        <v>1495</v>
      </c>
      <c r="G61" s="94"/>
      <c r="H61" s="10"/>
    </row>
    <row r="62">
      <c r="A62" s="234"/>
      <c r="B62" s="68" t="s">
        <v>1496</v>
      </c>
      <c r="C62" s="45" t="s">
        <v>1497</v>
      </c>
      <c r="D62" s="45" t="s">
        <v>1428</v>
      </c>
      <c r="E62" s="29">
        <v>4985.28</v>
      </c>
      <c r="F62" s="68" t="s">
        <v>1498</v>
      </c>
      <c r="G62" s="94"/>
      <c r="H62" s="10"/>
    </row>
    <row r="63">
      <c r="A63" s="234"/>
      <c r="B63" s="68" t="s">
        <v>1499</v>
      </c>
      <c r="C63" s="45" t="s">
        <v>332</v>
      </c>
      <c r="D63" s="45" t="s">
        <v>113</v>
      </c>
      <c r="E63" s="29">
        <v>3040.28</v>
      </c>
      <c r="F63" s="68">
        <v>4.499437177E9</v>
      </c>
      <c r="G63" s="46">
        <v>3040.28</v>
      </c>
      <c r="H63" s="45" t="s">
        <v>1500</v>
      </c>
    </row>
    <row r="64">
      <c r="A64" s="234"/>
      <c r="B64" s="69" t="s">
        <v>1501</v>
      </c>
      <c r="C64" s="42" t="s">
        <v>1476</v>
      </c>
      <c r="D64" s="42" t="s">
        <v>122</v>
      </c>
      <c r="E64" s="25">
        <v>2550.0</v>
      </c>
      <c r="F64" s="69" t="s">
        <v>1502</v>
      </c>
      <c r="G64" s="251"/>
      <c r="H64" s="42" t="s">
        <v>32</v>
      </c>
    </row>
    <row r="65">
      <c r="A65" s="234"/>
      <c r="B65" s="69" t="s">
        <v>1503</v>
      </c>
      <c r="C65" s="42" t="s">
        <v>80</v>
      </c>
      <c r="D65" s="42" t="s">
        <v>113</v>
      </c>
      <c r="E65" s="25">
        <v>3652.96</v>
      </c>
      <c r="F65" s="69" t="s">
        <v>1504</v>
      </c>
      <c r="G65" s="251"/>
      <c r="H65" s="42" t="s">
        <v>32</v>
      </c>
    </row>
    <row r="66">
      <c r="A66" s="234"/>
      <c r="B66" s="68" t="s">
        <v>1443</v>
      </c>
      <c r="C66" s="45" t="s">
        <v>1476</v>
      </c>
      <c r="D66" s="45" t="s">
        <v>113</v>
      </c>
      <c r="E66" s="29">
        <v>2533.8</v>
      </c>
      <c r="F66" s="68" t="s">
        <v>1445</v>
      </c>
      <c r="G66" s="94"/>
      <c r="H66" s="10"/>
    </row>
    <row r="67">
      <c r="A67" s="234"/>
      <c r="B67" s="68" t="s">
        <v>1505</v>
      </c>
      <c r="C67" s="45" t="s">
        <v>1506</v>
      </c>
      <c r="D67" s="45" t="s">
        <v>31</v>
      </c>
      <c r="E67" s="29">
        <v>4203.08</v>
      </c>
      <c r="F67" s="68" t="s">
        <v>1507</v>
      </c>
      <c r="G67" s="94"/>
      <c r="H67" s="10"/>
    </row>
    <row r="68">
      <c r="A68" s="234"/>
      <c r="B68" s="68" t="s">
        <v>1508</v>
      </c>
      <c r="C68" s="45" t="s">
        <v>1509</v>
      </c>
      <c r="D68" s="45" t="s">
        <v>50</v>
      </c>
      <c r="E68" s="29">
        <v>2682.87</v>
      </c>
      <c r="F68" s="68" t="s">
        <v>1510</v>
      </c>
      <c r="G68" s="94"/>
      <c r="H68" s="10"/>
    </row>
    <row r="69">
      <c r="A69" s="234"/>
      <c r="B69" s="68" t="s">
        <v>1511</v>
      </c>
      <c r="C69" s="45" t="s">
        <v>1512</v>
      </c>
      <c r="D69" s="45" t="s">
        <v>50</v>
      </c>
      <c r="E69" s="29">
        <v>2980.95</v>
      </c>
      <c r="F69" s="68" t="s">
        <v>1513</v>
      </c>
      <c r="G69" s="94"/>
      <c r="H69" s="10"/>
    </row>
    <row r="70">
      <c r="A70" s="234"/>
      <c r="B70" s="68" t="s">
        <v>1514</v>
      </c>
      <c r="C70" s="45" t="s">
        <v>1515</v>
      </c>
      <c r="D70" s="45" t="s">
        <v>1428</v>
      </c>
      <c r="E70" s="29">
        <v>9519.66</v>
      </c>
      <c r="F70" s="68" t="s">
        <v>1516</v>
      </c>
      <c r="G70" s="94"/>
      <c r="H70" s="10"/>
    </row>
    <row r="71">
      <c r="A71" s="234"/>
      <c r="B71" s="68" t="s">
        <v>1517</v>
      </c>
      <c r="C71" s="45" t="s">
        <v>1518</v>
      </c>
      <c r="D71" s="45" t="s">
        <v>118</v>
      </c>
      <c r="E71" s="29">
        <v>10454.15</v>
      </c>
      <c r="F71" s="68" t="s">
        <v>1519</v>
      </c>
      <c r="G71" s="94"/>
      <c r="H71" s="10"/>
    </row>
    <row r="72">
      <c r="A72" s="234"/>
      <c r="B72" s="68" t="s">
        <v>1520</v>
      </c>
      <c r="C72" s="45" t="s">
        <v>1518</v>
      </c>
      <c r="D72" s="45" t="s">
        <v>185</v>
      </c>
      <c r="E72" s="29">
        <v>13476.75</v>
      </c>
      <c r="F72" s="68" t="s">
        <v>1521</v>
      </c>
      <c r="G72" s="94"/>
      <c r="H72" s="10"/>
    </row>
    <row r="73">
      <c r="A73" s="234"/>
      <c r="B73" s="68" t="s">
        <v>1522</v>
      </c>
      <c r="C73" s="45" t="s">
        <v>229</v>
      </c>
      <c r="D73" s="45" t="s">
        <v>167</v>
      </c>
      <c r="E73" s="29">
        <v>16295.35</v>
      </c>
      <c r="F73" s="68" t="s">
        <v>1523</v>
      </c>
      <c r="G73" s="94"/>
      <c r="H73" s="10"/>
    </row>
    <row r="74">
      <c r="A74" s="234"/>
      <c r="B74" s="68" t="s">
        <v>1524</v>
      </c>
      <c r="C74" s="45" t="s">
        <v>1525</v>
      </c>
      <c r="D74" s="45" t="s">
        <v>118</v>
      </c>
      <c r="E74" s="29">
        <v>3615.9</v>
      </c>
      <c r="F74" s="68" t="s">
        <v>1526</v>
      </c>
      <c r="G74" s="94"/>
      <c r="H74" s="10"/>
    </row>
    <row r="75">
      <c r="A75" s="234"/>
      <c r="B75" s="68" t="s">
        <v>1527</v>
      </c>
      <c r="C75" s="45" t="s">
        <v>132</v>
      </c>
      <c r="D75" s="45" t="s">
        <v>113</v>
      </c>
      <c r="E75" s="29">
        <v>1986.96</v>
      </c>
      <c r="F75" s="68" t="s">
        <v>1528</v>
      </c>
      <c r="G75" s="94"/>
      <c r="H75" s="10"/>
    </row>
    <row r="76">
      <c r="A76" s="234"/>
      <c r="B76" s="69" t="s">
        <v>1493</v>
      </c>
      <c r="C76" s="42" t="s">
        <v>1494</v>
      </c>
      <c r="D76" s="42" t="s">
        <v>113</v>
      </c>
      <c r="E76" s="25">
        <v>3108.96</v>
      </c>
      <c r="F76" s="69" t="s">
        <v>1495</v>
      </c>
      <c r="G76" s="251"/>
      <c r="H76" s="42" t="s">
        <v>32</v>
      </c>
    </row>
    <row r="77">
      <c r="A77" s="234"/>
      <c r="B77" s="68" t="s">
        <v>1529</v>
      </c>
      <c r="C77" s="45" t="s">
        <v>1530</v>
      </c>
      <c r="D77" s="45" t="s">
        <v>113</v>
      </c>
      <c r="E77" s="29">
        <v>4139.5</v>
      </c>
      <c r="F77" s="68" t="s">
        <v>1531</v>
      </c>
      <c r="G77" s="94"/>
      <c r="H77" s="10"/>
    </row>
    <row r="78">
      <c r="A78" s="234"/>
      <c r="B78" s="68" t="s">
        <v>1532</v>
      </c>
      <c r="C78" s="45" t="s">
        <v>1530</v>
      </c>
      <c r="D78" s="45" t="s">
        <v>185</v>
      </c>
      <c r="E78" s="29">
        <v>8890.0</v>
      </c>
      <c r="F78" s="68" t="s">
        <v>1533</v>
      </c>
      <c r="G78" s="94"/>
      <c r="H78" s="10"/>
    </row>
    <row r="79">
      <c r="A79" s="234"/>
      <c r="B79" s="68" t="s">
        <v>1534</v>
      </c>
      <c r="C79" s="45" t="s">
        <v>1535</v>
      </c>
      <c r="D79" s="45" t="s">
        <v>50</v>
      </c>
      <c r="E79" s="29">
        <v>2582.64</v>
      </c>
      <c r="F79" s="68" t="s">
        <v>1536</v>
      </c>
      <c r="G79" s="94"/>
      <c r="H79" s="10"/>
    </row>
    <row r="80">
      <c r="A80" s="234"/>
      <c r="B80" s="262" t="s">
        <v>1537</v>
      </c>
      <c r="C80" s="263" t="s">
        <v>1538</v>
      </c>
      <c r="D80" s="263" t="s">
        <v>167</v>
      </c>
      <c r="E80" s="264">
        <v>7012.0</v>
      </c>
      <c r="F80" s="262" t="s">
        <v>1539</v>
      </c>
      <c r="G80" s="265"/>
      <c r="H80" s="263" t="s">
        <v>1540</v>
      </c>
    </row>
    <row r="81">
      <c r="A81" s="234"/>
      <c r="B81" s="256" t="s">
        <v>1541</v>
      </c>
      <c r="C81" s="1" t="s">
        <v>1542</v>
      </c>
      <c r="D81" s="1" t="s">
        <v>128</v>
      </c>
      <c r="E81" s="257">
        <v>4998.4</v>
      </c>
      <c r="F81" s="256" t="s">
        <v>1543</v>
      </c>
      <c r="G81" s="94"/>
      <c r="H81" s="10"/>
    </row>
    <row r="82">
      <c r="A82" s="234"/>
      <c r="B82" s="256" t="s">
        <v>1544</v>
      </c>
      <c r="C82" s="1" t="s">
        <v>288</v>
      </c>
      <c r="D82" s="1" t="s">
        <v>50</v>
      </c>
      <c r="E82" s="257">
        <v>1580.84</v>
      </c>
      <c r="F82" s="256" t="s">
        <v>1545</v>
      </c>
      <c r="G82" s="94"/>
      <c r="H82" s="10"/>
    </row>
    <row r="83">
      <c r="A83" s="234"/>
      <c r="B83" s="256" t="s">
        <v>1546</v>
      </c>
      <c r="C83" s="1" t="s">
        <v>311</v>
      </c>
      <c r="D83" s="1" t="s">
        <v>122</v>
      </c>
      <c r="E83" s="257">
        <v>6417.84</v>
      </c>
      <c r="F83" s="256" t="s">
        <v>1547</v>
      </c>
      <c r="G83" s="94"/>
      <c r="H83" s="10"/>
    </row>
    <row r="84">
      <c r="A84" s="234"/>
      <c r="B84" s="68" t="s">
        <v>1548</v>
      </c>
      <c r="C84" s="45" t="s">
        <v>1549</v>
      </c>
      <c r="D84" s="45" t="s">
        <v>167</v>
      </c>
      <c r="E84" s="29">
        <v>5632.0</v>
      </c>
      <c r="F84" s="68" t="s">
        <v>1550</v>
      </c>
      <c r="G84" s="94"/>
      <c r="H84" s="10"/>
    </row>
    <row r="85">
      <c r="A85" s="234"/>
      <c r="B85" s="256" t="s">
        <v>1551</v>
      </c>
      <c r="C85" s="1" t="s">
        <v>1552</v>
      </c>
      <c r="D85" s="1" t="s">
        <v>50</v>
      </c>
      <c r="E85" s="257">
        <v>5057.51</v>
      </c>
      <c r="F85" s="256" t="s">
        <v>1553</v>
      </c>
      <c r="G85" s="94"/>
      <c r="H85" s="10"/>
    </row>
    <row r="86">
      <c r="A86" s="234"/>
      <c r="B86" s="256" t="s">
        <v>1554</v>
      </c>
      <c r="C86" s="1" t="s">
        <v>1555</v>
      </c>
      <c r="D86" s="1" t="s">
        <v>113</v>
      </c>
      <c r="E86" s="257">
        <v>3842.25</v>
      </c>
      <c r="F86" s="256" t="s">
        <v>1556</v>
      </c>
      <c r="G86" s="94"/>
      <c r="H86" s="10"/>
    </row>
    <row r="87">
      <c r="A87" s="234"/>
      <c r="B87" s="256" t="s">
        <v>1557</v>
      </c>
      <c r="C87" s="1" t="s">
        <v>1558</v>
      </c>
      <c r="D87" s="1" t="s">
        <v>50</v>
      </c>
      <c r="E87" s="257">
        <v>2544.9</v>
      </c>
      <c r="F87" s="256" t="s">
        <v>1559</v>
      </c>
      <c r="G87" s="94"/>
      <c r="H87" s="10"/>
    </row>
    <row r="88">
      <c r="A88" s="234"/>
      <c r="B88" s="69" t="s">
        <v>1560</v>
      </c>
      <c r="C88" s="42" t="s">
        <v>1561</v>
      </c>
      <c r="D88" s="42" t="s">
        <v>122</v>
      </c>
      <c r="E88" s="25">
        <v>992.0</v>
      </c>
      <c r="F88" s="69" t="s">
        <v>1562</v>
      </c>
      <c r="G88" s="251"/>
      <c r="H88" s="42" t="s">
        <v>68</v>
      </c>
    </row>
    <row r="89">
      <c r="A89" s="234"/>
      <c r="B89" s="68" t="s">
        <v>1563</v>
      </c>
      <c r="C89" s="45" t="s">
        <v>1564</v>
      </c>
      <c r="D89" s="45" t="s">
        <v>167</v>
      </c>
      <c r="E89" s="29">
        <v>2634.0</v>
      </c>
      <c r="F89" s="68" t="s">
        <v>1565</v>
      </c>
      <c r="G89" s="94"/>
      <c r="H89" s="10"/>
    </row>
    <row r="90">
      <c r="A90" s="234"/>
      <c r="B90" s="256" t="s">
        <v>1566</v>
      </c>
      <c r="C90" s="1" t="s">
        <v>1567</v>
      </c>
      <c r="D90" s="1" t="s">
        <v>113</v>
      </c>
      <c r="E90" s="257">
        <v>2540.31</v>
      </c>
      <c r="F90" s="256" t="s">
        <v>1568</v>
      </c>
      <c r="G90" s="94"/>
      <c r="H90" s="10"/>
    </row>
    <row r="91">
      <c r="A91" s="234"/>
      <c r="B91" s="256" t="s">
        <v>1569</v>
      </c>
      <c r="C91" s="1" t="s">
        <v>1570</v>
      </c>
      <c r="D91" s="1" t="s">
        <v>113</v>
      </c>
      <c r="E91" s="257">
        <v>559.72</v>
      </c>
      <c r="F91" s="256" t="s">
        <v>1571</v>
      </c>
      <c r="G91" s="94"/>
      <c r="H91" s="10"/>
    </row>
    <row r="92">
      <c r="A92" s="234"/>
      <c r="B92" s="256" t="s">
        <v>1572</v>
      </c>
      <c r="C92" s="1" t="s">
        <v>1561</v>
      </c>
      <c r="D92" s="1" t="s">
        <v>122</v>
      </c>
      <c r="E92" s="257">
        <v>839.25</v>
      </c>
      <c r="F92" s="256" t="s">
        <v>1573</v>
      </c>
      <c r="G92" s="94"/>
      <c r="H92" s="10"/>
    </row>
    <row r="93">
      <c r="A93" s="234"/>
      <c r="B93" s="256" t="s">
        <v>1524</v>
      </c>
      <c r="C93" s="1" t="s">
        <v>1574</v>
      </c>
      <c r="D93" s="1" t="s">
        <v>122</v>
      </c>
      <c r="E93" s="257">
        <v>1751.86</v>
      </c>
      <c r="F93" s="256" t="s">
        <v>1526</v>
      </c>
      <c r="G93" s="94"/>
      <c r="H93" s="10"/>
    </row>
    <row r="94">
      <c r="A94" s="234"/>
      <c r="B94" s="69" t="s">
        <v>1572</v>
      </c>
      <c r="C94" s="42" t="s">
        <v>1561</v>
      </c>
      <c r="D94" s="42" t="s">
        <v>122</v>
      </c>
      <c r="E94" s="25">
        <v>839.25</v>
      </c>
      <c r="F94" s="69" t="s">
        <v>1573</v>
      </c>
      <c r="G94" s="251"/>
      <c r="H94" s="42" t="s">
        <v>32</v>
      </c>
    </row>
    <row r="95">
      <c r="A95" s="234"/>
      <c r="B95" s="69" t="s">
        <v>1575</v>
      </c>
      <c r="C95" s="42" t="s">
        <v>1576</v>
      </c>
      <c r="D95" s="42" t="s">
        <v>113</v>
      </c>
      <c r="E95" s="25">
        <v>623.7</v>
      </c>
      <c r="F95" s="69" t="s">
        <v>1577</v>
      </c>
      <c r="G95" s="251"/>
      <c r="H95" s="42" t="s">
        <v>32</v>
      </c>
    </row>
    <row r="96">
      <c r="A96" s="234"/>
      <c r="B96" s="256" t="s">
        <v>1578</v>
      </c>
      <c r="C96" s="1" t="s">
        <v>1579</v>
      </c>
      <c r="D96" s="1" t="s">
        <v>31</v>
      </c>
      <c r="E96" s="257">
        <v>497.4</v>
      </c>
      <c r="F96" s="256" t="s">
        <v>1580</v>
      </c>
      <c r="G96" s="94"/>
      <c r="H96" s="10"/>
    </row>
    <row r="97">
      <c r="A97" s="234"/>
      <c r="B97" s="256" t="s">
        <v>1578</v>
      </c>
      <c r="C97" s="1" t="s">
        <v>1581</v>
      </c>
      <c r="D97" s="1" t="s">
        <v>50</v>
      </c>
      <c r="E97" s="257">
        <v>497.4</v>
      </c>
      <c r="F97" s="256" t="s">
        <v>1582</v>
      </c>
      <c r="G97" s="94"/>
      <c r="H97" s="10"/>
    </row>
    <row r="98">
      <c r="A98" s="234"/>
      <c r="B98" s="69" t="s">
        <v>1583</v>
      </c>
      <c r="C98" s="42" t="s">
        <v>1584</v>
      </c>
      <c r="D98" s="42" t="s">
        <v>50</v>
      </c>
      <c r="E98" s="25">
        <v>1888.66</v>
      </c>
      <c r="F98" s="69" t="s">
        <v>1585</v>
      </c>
      <c r="G98" s="251"/>
      <c r="H98" s="42" t="s">
        <v>32</v>
      </c>
    </row>
    <row r="99">
      <c r="A99" s="234"/>
      <c r="B99" s="68" t="s">
        <v>1586</v>
      </c>
      <c r="C99" s="45" t="s">
        <v>1587</v>
      </c>
      <c r="D99" s="45" t="s">
        <v>50</v>
      </c>
      <c r="E99" s="29">
        <v>2061.6</v>
      </c>
      <c r="F99" s="68" t="s">
        <v>1588</v>
      </c>
      <c r="G99" s="94"/>
      <c r="H99" s="10"/>
    </row>
    <row r="100">
      <c r="A100" s="234"/>
      <c r="B100" s="68" t="s">
        <v>1589</v>
      </c>
      <c r="C100" s="45" t="s">
        <v>1590</v>
      </c>
      <c r="D100" s="45" t="s">
        <v>128</v>
      </c>
      <c r="E100" s="29">
        <v>1504.8</v>
      </c>
      <c r="F100" s="68" t="s">
        <v>1588</v>
      </c>
      <c r="G100" s="94"/>
      <c r="H100" s="10"/>
    </row>
    <row r="101">
      <c r="A101" s="234"/>
      <c r="B101" s="68" t="s">
        <v>1591</v>
      </c>
      <c r="C101" s="45" t="s">
        <v>1592</v>
      </c>
      <c r="D101" s="45" t="s">
        <v>128</v>
      </c>
      <c r="E101" s="29">
        <v>1834.64</v>
      </c>
      <c r="F101" s="68"/>
      <c r="G101" s="94"/>
      <c r="H101" s="10"/>
    </row>
    <row r="102">
      <c r="A102" s="240"/>
      <c r="B102" s="68" t="s">
        <v>1593</v>
      </c>
      <c r="C102" s="45" t="s">
        <v>1594</v>
      </c>
      <c r="D102" s="45" t="s">
        <v>113</v>
      </c>
      <c r="E102" s="29">
        <v>550.13</v>
      </c>
      <c r="F102" s="68" t="s">
        <v>1595</v>
      </c>
      <c r="G102" s="94"/>
      <c r="H102" s="10"/>
    </row>
    <row r="103">
      <c r="A103" s="253"/>
      <c r="B103" s="266"/>
      <c r="C103" s="2"/>
      <c r="D103" s="2"/>
      <c r="E103" s="267"/>
      <c r="F103" s="266"/>
      <c r="G103" s="3"/>
    </row>
    <row r="104">
      <c r="A104" s="268" t="s">
        <v>1596</v>
      </c>
      <c r="B104" s="69" t="s">
        <v>1597</v>
      </c>
      <c r="C104" s="42" t="s">
        <v>1598</v>
      </c>
      <c r="D104" s="42" t="s">
        <v>175</v>
      </c>
      <c r="E104" s="25">
        <v>2215.17</v>
      </c>
      <c r="F104" s="69" t="s">
        <v>1599</v>
      </c>
      <c r="G104" s="251"/>
      <c r="H104" s="42" t="s">
        <v>68</v>
      </c>
    </row>
    <row r="105">
      <c r="A105" s="234"/>
      <c r="B105" s="269" t="s">
        <v>1600</v>
      </c>
      <c r="C105" s="42" t="s">
        <v>1601</v>
      </c>
      <c r="D105" s="42" t="s">
        <v>167</v>
      </c>
      <c r="E105" s="25">
        <v>11413.8</v>
      </c>
      <c r="F105" s="269" t="s">
        <v>1602</v>
      </c>
      <c r="G105" s="251"/>
      <c r="H105" s="42" t="s">
        <v>68</v>
      </c>
    </row>
    <row r="106">
      <c r="A106" s="234"/>
      <c r="B106" s="256" t="s">
        <v>1603</v>
      </c>
      <c r="C106" s="1" t="s">
        <v>1604</v>
      </c>
      <c r="D106" s="1" t="s">
        <v>185</v>
      </c>
      <c r="E106" s="257" t="s">
        <v>1605</v>
      </c>
      <c r="F106" s="256" t="s">
        <v>1606</v>
      </c>
      <c r="G106" s="94"/>
      <c r="H106" s="10"/>
    </row>
    <row r="107">
      <c r="A107" s="234"/>
      <c r="B107" s="256" t="s">
        <v>1607</v>
      </c>
      <c r="C107" s="1" t="s">
        <v>1608</v>
      </c>
      <c r="D107" s="1" t="s">
        <v>153</v>
      </c>
      <c r="E107" s="257">
        <v>4776.66</v>
      </c>
      <c r="F107" s="256" t="s">
        <v>1609</v>
      </c>
      <c r="G107" s="94"/>
      <c r="H107" s="10"/>
    </row>
    <row r="108">
      <c r="A108" s="234"/>
      <c r="B108" s="256" t="s">
        <v>1607</v>
      </c>
      <c r="C108" s="1" t="s">
        <v>1604</v>
      </c>
      <c r="D108" s="1" t="s">
        <v>175</v>
      </c>
      <c r="E108" s="257">
        <v>4776.66</v>
      </c>
      <c r="F108" s="256" t="s">
        <v>1609</v>
      </c>
      <c r="G108" s="94"/>
    </row>
    <row r="109">
      <c r="A109" s="234"/>
      <c r="B109" s="256" t="s">
        <v>1610</v>
      </c>
      <c r="C109" s="1" t="s">
        <v>1032</v>
      </c>
      <c r="D109" s="1" t="s">
        <v>167</v>
      </c>
      <c r="E109" s="96">
        <v>3325.2</v>
      </c>
      <c r="F109" s="256" t="s">
        <v>1611</v>
      </c>
      <c r="G109" s="94"/>
      <c r="H109" s="10"/>
    </row>
    <row r="110">
      <c r="A110" s="234"/>
      <c r="B110" s="256" t="s">
        <v>1612</v>
      </c>
      <c r="C110" s="1" t="s">
        <v>1613</v>
      </c>
      <c r="D110" s="1" t="s">
        <v>153</v>
      </c>
      <c r="E110" s="96">
        <v>1629.6</v>
      </c>
      <c r="F110" s="256" t="s">
        <v>1614</v>
      </c>
      <c r="G110" s="94"/>
      <c r="H110" s="10"/>
    </row>
    <row r="111">
      <c r="A111" s="234"/>
      <c r="B111" s="69" t="s">
        <v>1615</v>
      </c>
      <c r="C111" s="42" t="s">
        <v>280</v>
      </c>
      <c r="D111" s="42" t="s">
        <v>153</v>
      </c>
      <c r="E111" s="43">
        <v>2405.7</v>
      </c>
      <c r="F111" s="69" t="s">
        <v>1616</v>
      </c>
      <c r="G111" s="251"/>
      <c r="H111" s="42" t="s">
        <v>68</v>
      </c>
    </row>
    <row r="112">
      <c r="A112" s="234"/>
      <c r="B112" s="256" t="s">
        <v>1617</v>
      </c>
      <c r="C112" s="1" t="s">
        <v>1618</v>
      </c>
      <c r="D112" s="1" t="s">
        <v>175</v>
      </c>
      <c r="E112" s="96">
        <v>4100.94</v>
      </c>
      <c r="F112" s="256" t="s">
        <v>1619</v>
      </c>
      <c r="G112" s="94"/>
      <c r="H112" s="10"/>
    </row>
    <row r="113">
      <c r="A113" s="234"/>
      <c r="B113" s="256" t="s">
        <v>1617</v>
      </c>
      <c r="C113" s="1" t="s">
        <v>1618</v>
      </c>
      <c r="D113" s="1" t="s">
        <v>153</v>
      </c>
      <c r="E113" s="96">
        <v>3275.83</v>
      </c>
      <c r="F113" s="256" t="s">
        <v>1619</v>
      </c>
      <c r="G113" s="94"/>
      <c r="H113" s="10"/>
    </row>
    <row r="114">
      <c r="A114" s="234"/>
      <c r="B114" s="256" t="s">
        <v>1620</v>
      </c>
      <c r="C114" s="1" t="s">
        <v>1621</v>
      </c>
      <c r="D114" s="1" t="s">
        <v>122</v>
      </c>
      <c r="E114" s="96">
        <v>3651.6</v>
      </c>
      <c r="F114" s="256" t="s">
        <v>1622</v>
      </c>
      <c r="G114" s="94"/>
      <c r="H114" s="10"/>
    </row>
    <row r="115">
      <c r="A115" s="234"/>
      <c r="B115" s="68" t="s">
        <v>745</v>
      </c>
      <c r="C115" s="45" t="s">
        <v>334</v>
      </c>
      <c r="D115" s="45" t="s">
        <v>175</v>
      </c>
      <c r="E115" s="46">
        <v>2050.47</v>
      </c>
      <c r="F115" s="68" t="s">
        <v>1623</v>
      </c>
      <c r="G115" s="94"/>
      <c r="H115" s="10"/>
    </row>
    <row r="116">
      <c r="A116" s="234"/>
      <c r="B116" s="68" t="s">
        <v>1624</v>
      </c>
      <c r="C116" s="45" t="s">
        <v>1625</v>
      </c>
      <c r="D116" s="45" t="s">
        <v>153</v>
      </c>
      <c r="E116" s="46">
        <v>3667.44</v>
      </c>
      <c r="F116" s="68" t="s">
        <v>1626</v>
      </c>
      <c r="G116" s="94"/>
      <c r="H116" s="10"/>
    </row>
    <row r="117">
      <c r="A117" s="234"/>
      <c r="B117" s="256" t="s">
        <v>1551</v>
      </c>
      <c r="C117" s="1" t="s">
        <v>1627</v>
      </c>
      <c r="D117" s="1" t="s">
        <v>175</v>
      </c>
      <c r="E117" s="96">
        <v>4611.4</v>
      </c>
      <c r="F117" s="256" t="s">
        <v>1553</v>
      </c>
      <c r="G117" s="94"/>
      <c r="H117" s="10"/>
    </row>
    <row r="118">
      <c r="A118" s="234"/>
      <c r="B118" s="256" t="s">
        <v>1628</v>
      </c>
      <c r="C118" s="1" t="s">
        <v>1629</v>
      </c>
      <c r="D118" s="1" t="s">
        <v>153</v>
      </c>
      <c r="E118" s="96">
        <v>4212.88</v>
      </c>
      <c r="F118" s="256" t="s">
        <v>1630</v>
      </c>
      <c r="G118" s="94"/>
      <c r="H118" s="10"/>
    </row>
    <row r="119">
      <c r="A119" s="234"/>
      <c r="B119" s="256" t="s">
        <v>1628</v>
      </c>
      <c r="C119" s="1" t="s">
        <v>1629</v>
      </c>
      <c r="D119" s="1" t="s">
        <v>128</v>
      </c>
      <c r="E119" s="96">
        <v>5826.24</v>
      </c>
      <c r="F119" s="256" t="s">
        <v>1630</v>
      </c>
      <c r="G119" s="94"/>
      <c r="H119" s="10"/>
    </row>
    <row r="120">
      <c r="A120" s="234"/>
      <c r="B120" s="256" t="s">
        <v>1631</v>
      </c>
      <c r="C120" s="1" t="s">
        <v>1632</v>
      </c>
      <c r="D120" s="1" t="s">
        <v>122</v>
      </c>
      <c r="E120" s="96">
        <v>3834.3</v>
      </c>
      <c r="F120" s="256" t="s">
        <v>1633</v>
      </c>
      <c r="G120" s="94"/>
      <c r="H120" s="10"/>
    </row>
    <row r="121">
      <c r="A121" s="234"/>
      <c r="B121" s="256" t="s">
        <v>1634</v>
      </c>
      <c r="C121" s="1" t="s">
        <v>1635</v>
      </c>
      <c r="D121" s="1" t="s">
        <v>113</v>
      </c>
      <c r="E121" s="96">
        <v>3179.34</v>
      </c>
      <c r="F121" s="256" t="s">
        <v>1636</v>
      </c>
      <c r="G121" s="94"/>
      <c r="H121" s="10"/>
    </row>
    <row r="122">
      <c r="A122" s="234"/>
      <c r="B122" s="256" t="s">
        <v>1637</v>
      </c>
      <c r="C122" s="1" t="s">
        <v>1638</v>
      </c>
      <c r="D122" s="1" t="s">
        <v>175</v>
      </c>
      <c r="E122" s="96">
        <v>2384.52</v>
      </c>
      <c r="F122" s="256" t="s">
        <v>1639</v>
      </c>
      <c r="G122" s="94"/>
      <c r="H122" s="10"/>
    </row>
    <row r="123">
      <c r="A123" s="234"/>
      <c r="B123" s="256" t="s">
        <v>1637</v>
      </c>
      <c r="C123" s="1" t="s">
        <v>1638</v>
      </c>
      <c r="D123" s="1" t="s">
        <v>185</v>
      </c>
      <c r="E123" s="96">
        <v>4740.45</v>
      </c>
      <c r="F123" s="256" t="s">
        <v>1639</v>
      </c>
      <c r="G123" s="94"/>
      <c r="H123" s="10"/>
    </row>
    <row r="124">
      <c r="A124" s="234"/>
      <c r="B124" s="256" t="s">
        <v>1640</v>
      </c>
      <c r="C124" s="1" t="s">
        <v>1641</v>
      </c>
      <c r="D124" s="1" t="s">
        <v>185</v>
      </c>
      <c r="E124" s="96">
        <v>18640.0</v>
      </c>
      <c r="F124" s="256" t="s">
        <v>1642</v>
      </c>
      <c r="G124" s="94"/>
      <c r="H124" s="10"/>
    </row>
    <row r="125">
      <c r="A125" s="234"/>
      <c r="B125" s="256" t="s">
        <v>1643</v>
      </c>
      <c r="C125" s="1" t="s">
        <v>1644</v>
      </c>
      <c r="D125" s="1" t="s">
        <v>122</v>
      </c>
      <c r="E125" s="96">
        <v>2375.58</v>
      </c>
      <c r="F125" s="256" t="s">
        <v>1645</v>
      </c>
      <c r="G125" s="94"/>
      <c r="H125" s="10"/>
    </row>
    <row r="126">
      <c r="A126" s="234"/>
      <c r="B126" s="270" t="s">
        <v>1646</v>
      </c>
      <c r="C126" s="271" t="s">
        <v>1647</v>
      </c>
      <c r="D126" s="271" t="s">
        <v>175</v>
      </c>
      <c r="E126" s="272">
        <v>1086.0</v>
      </c>
      <c r="F126" s="270" t="s">
        <v>1648</v>
      </c>
      <c r="G126" s="273"/>
      <c r="H126" s="271" t="s">
        <v>849</v>
      </c>
    </row>
    <row r="127">
      <c r="A127" s="234"/>
      <c r="B127" s="256" t="s">
        <v>1649</v>
      </c>
      <c r="C127" s="1" t="s">
        <v>1650</v>
      </c>
      <c r="D127" s="1" t="s">
        <v>153</v>
      </c>
      <c r="E127" s="96">
        <v>4599.44</v>
      </c>
      <c r="F127" s="256" t="s">
        <v>1651</v>
      </c>
      <c r="G127" s="94"/>
      <c r="H127" s="10"/>
    </row>
    <row r="128">
      <c r="A128" s="234"/>
      <c r="B128" s="69" t="s">
        <v>1652</v>
      </c>
      <c r="C128" s="42" t="s">
        <v>1653</v>
      </c>
      <c r="D128" s="42" t="s">
        <v>122</v>
      </c>
      <c r="E128" s="43">
        <v>2515.32</v>
      </c>
      <c r="F128" s="69" t="s">
        <v>1654</v>
      </c>
      <c r="G128" s="251"/>
      <c r="H128" s="42" t="s">
        <v>68</v>
      </c>
    </row>
    <row r="129">
      <c r="A129" s="234"/>
      <c r="B129" s="69" t="s">
        <v>1655</v>
      </c>
      <c r="C129" s="42" t="s">
        <v>1656</v>
      </c>
      <c r="D129" s="42" t="s">
        <v>128</v>
      </c>
      <c r="E129" s="43">
        <v>4612.44</v>
      </c>
      <c r="F129" s="69" t="s">
        <v>1657</v>
      </c>
      <c r="G129" s="251"/>
      <c r="H129" s="42" t="s">
        <v>68</v>
      </c>
    </row>
    <row r="130">
      <c r="A130" s="234"/>
      <c r="B130" s="256" t="s">
        <v>1658</v>
      </c>
      <c r="C130" s="1" t="s">
        <v>1659</v>
      </c>
      <c r="D130" s="1" t="s">
        <v>118</v>
      </c>
      <c r="E130" s="96">
        <v>4698.4</v>
      </c>
      <c r="F130" s="256" t="s">
        <v>1660</v>
      </c>
      <c r="G130" s="94"/>
      <c r="H130" s="10"/>
    </row>
    <row r="131">
      <c r="A131" s="234"/>
      <c r="B131" s="256" t="s">
        <v>1661</v>
      </c>
      <c r="C131" s="1" t="s">
        <v>1662</v>
      </c>
      <c r="D131" s="1" t="s">
        <v>167</v>
      </c>
      <c r="E131" s="96">
        <v>4401.95</v>
      </c>
      <c r="F131" s="256" t="s">
        <v>1663</v>
      </c>
      <c r="G131" s="94"/>
      <c r="H131" s="10"/>
    </row>
    <row r="132">
      <c r="A132" s="234"/>
      <c r="B132" s="256" t="s">
        <v>1664</v>
      </c>
      <c r="C132" s="1" t="s">
        <v>1665</v>
      </c>
      <c r="D132" s="1" t="s">
        <v>167</v>
      </c>
      <c r="E132" s="96">
        <v>2247.7</v>
      </c>
      <c r="F132" s="256" t="s">
        <v>1666</v>
      </c>
      <c r="G132" s="94"/>
      <c r="H132" s="10"/>
    </row>
    <row r="133">
      <c r="A133" s="234"/>
      <c r="B133" s="68" t="s">
        <v>1667</v>
      </c>
      <c r="C133" s="45" t="s">
        <v>1668</v>
      </c>
      <c r="D133" s="45" t="s">
        <v>128</v>
      </c>
      <c r="E133" s="46">
        <v>999.0</v>
      </c>
      <c r="F133" s="68" t="s">
        <v>1669</v>
      </c>
      <c r="G133" s="94"/>
      <c r="H133" s="10"/>
    </row>
    <row r="134">
      <c r="A134" s="234"/>
      <c r="B134" s="68" t="s">
        <v>1670</v>
      </c>
      <c r="C134" s="45" t="s">
        <v>1671</v>
      </c>
      <c r="D134" s="45" t="s">
        <v>122</v>
      </c>
      <c r="E134" s="46">
        <v>2165.34</v>
      </c>
      <c r="F134" s="68" t="s">
        <v>1672</v>
      </c>
      <c r="G134" s="94"/>
      <c r="H134" s="10"/>
    </row>
    <row r="135">
      <c r="A135" s="234"/>
      <c r="B135" s="256" t="s">
        <v>1673</v>
      </c>
      <c r="C135" s="1" t="s">
        <v>1674</v>
      </c>
      <c r="D135" s="1" t="s">
        <v>128</v>
      </c>
      <c r="E135" s="96">
        <v>1021.5</v>
      </c>
      <c r="F135" s="256" t="s">
        <v>1675</v>
      </c>
      <c r="G135" s="94"/>
      <c r="H135" s="10"/>
    </row>
    <row r="136">
      <c r="A136" s="234"/>
      <c r="B136" s="256" t="s">
        <v>1676</v>
      </c>
      <c r="C136" s="1" t="s">
        <v>1677</v>
      </c>
      <c r="D136" s="1" t="s">
        <v>167</v>
      </c>
      <c r="E136" s="96">
        <v>1536.8</v>
      </c>
      <c r="F136" s="256" t="s">
        <v>1678</v>
      </c>
      <c r="G136" s="94"/>
      <c r="H136" s="10"/>
    </row>
    <row r="137">
      <c r="A137" s="240"/>
      <c r="B137" s="256" t="s">
        <v>1679</v>
      </c>
      <c r="C137" s="1" t="s">
        <v>1680</v>
      </c>
      <c r="D137" s="1" t="s">
        <v>128</v>
      </c>
      <c r="E137" s="96">
        <v>5295.33</v>
      </c>
      <c r="F137" s="256" t="s">
        <v>1681</v>
      </c>
      <c r="G137" s="94"/>
      <c r="H137" s="10"/>
    </row>
    <row r="138">
      <c r="A138" s="253"/>
      <c r="E138" s="3"/>
      <c r="G138" s="3"/>
    </row>
    <row r="139">
      <c r="A139" s="268" t="s">
        <v>1682</v>
      </c>
      <c r="B139" s="69" t="s">
        <v>1683</v>
      </c>
      <c r="C139" s="42" t="s">
        <v>411</v>
      </c>
      <c r="D139" s="42" t="s">
        <v>113</v>
      </c>
      <c r="E139" s="25">
        <v>1324.8</v>
      </c>
      <c r="F139" s="69" t="s">
        <v>1684</v>
      </c>
      <c r="G139" s="251"/>
      <c r="H139" s="42" t="s">
        <v>1685</v>
      </c>
    </row>
    <row r="140">
      <c r="A140" s="234"/>
      <c r="B140" s="69" t="s">
        <v>1597</v>
      </c>
      <c r="C140" s="42" t="s">
        <v>1686</v>
      </c>
      <c r="D140" s="42" t="s">
        <v>175</v>
      </c>
      <c r="E140" s="25">
        <v>582.25</v>
      </c>
      <c r="F140" s="69" t="s">
        <v>1687</v>
      </c>
      <c r="G140" s="251"/>
      <c r="H140" s="42" t="s">
        <v>1685</v>
      </c>
    </row>
    <row r="141">
      <c r="A141" s="234"/>
      <c r="B141" s="256" t="s">
        <v>1597</v>
      </c>
      <c r="C141" s="1" t="s">
        <v>1686</v>
      </c>
      <c r="D141" s="1" t="s">
        <v>167</v>
      </c>
      <c r="E141" s="257">
        <v>856.0</v>
      </c>
      <c r="F141" s="256" t="s">
        <v>1687</v>
      </c>
      <c r="G141" s="94"/>
      <c r="H141" s="10"/>
    </row>
    <row r="142">
      <c r="A142" s="234"/>
      <c r="B142" s="69" t="s">
        <v>1688</v>
      </c>
      <c r="C142" s="42" t="s">
        <v>321</v>
      </c>
      <c r="D142" s="42" t="s">
        <v>122</v>
      </c>
      <c r="E142" s="25">
        <v>3324.71</v>
      </c>
      <c r="F142" s="69" t="s">
        <v>1689</v>
      </c>
      <c r="G142" s="251"/>
      <c r="H142" s="42" t="s">
        <v>68</v>
      </c>
    </row>
    <row r="143">
      <c r="A143" s="234"/>
      <c r="B143" s="69" t="s">
        <v>1690</v>
      </c>
      <c r="C143" s="42" t="s">
        <v>1691</v>
      </c>
      <c r="D143" s="42" t="s">
        <v>175</v>
      </c>
      <c r="E143" s="25">
        <v>1758.48</v>
      </c>
      <c r="F143" s="69" t="s">
        <v>1692</v>
      </c>
      <c r="G143" s="251"/>
      <c r="H143" s="42" t="s">
        <v>68</v>
      </c>
    </row>
    <row r="144">
      <c r="A144" s="234"/>
      <c r="B144" s="69" t="s">
        <v>1693</v>
      </c>
      <c r="C144" s="19" t="s">
        <v>1694</v>
      </c>
      <c r="D144" s="19" t="s">
        <v>185</v>
      </c>
      <c r="E144" s="25">
        <v>9542.95</v>
      </c>
      <c r="F144" s="69" t="s">
        <v>1695</v>
      </c>
      <c r="G144" s="16"/>
      <c r="H144" s="19" t="s">
        <v>68</v>
      </c>
    </row>
    <row r="145">
      <c r="A145" s="234"/>
      <c r="B145" s="256" t="s">
        <v>1696</v>
      </c>
      <c r="C145" s="247" t="s">
        <v>321</v>
      </c>
      <c r="D145" s="247" t="s">
        <v>128</v>
      </c>
      <c r="E145" s="257">
        <v>3255.58</v>
      </c>
      <c r="F145" s="256" t="s">
        <v>1697</v>
      </c>
      <c r="G145" s="241"/>
      <c r="H145" s="32"/>
    </row>
    <row r="146">
      <c r="A146" s="234"/>
      <c r="B146" s="256" t="s">
        <v>1698</v>
      </c>
      <c r="C146" s="247" t="s">
        <v>1699</v>
      </c>
      <c r="D146" s="247" t="s">
        <v>113</v>
      </c>
      <c r="E146" s="257">
        <v>5631.69</v>
      </c>
      <c r="F146" s="256" t="s">
        <v>1700</v>
      </c>
      <c r="G146" s="241"/>
      <c r="H146" s="32"/>
    </row>
    <row r="147">
      <c r="A147" s="234"/>
      <c r="B147" s="256" t="s">
        <v>1701</v>
      </c>
      <c r="C147" s="247" t="s">
        <v>402</v>
      </c>
      <c r="D147" s="247" t="s">
        <v>153</v>
      </c>
      <c r="E147" s="257">
        <v>904.4</v>
      </c>
      <c r="F147" s="256" t="s">
        <v>1702</v>
      </c>
      <c r="G147" s="241"/>
      <c r="H147" s="32"/>
    </row>
    <row r="148">
      <c r="A148" s="234"/>
      <c r="B148" s="256" t="s">
        <v>1703</v>
      </c>
      <c r="C148" s="247" t="s">
        <v>407</v>
      </c>
      <c r="D148" s="247" t="s">
        <v>153</v>
      </c>
      <c r="E148" s="257">
        <v>1098.2</v>
      </c>
      <c r="F148" s="256" t="s">
        <v>1704</v>
      </c>
      <c r="G148" s="241"/>
      <c r="H148" s="32"/>
    </row>
    <row r="149">
      <c r="A149" s="234"/>
      <c r="B149" s="69" t="s">
        <v>1705</v>
      </c>
      <c r="C149" s="19" t="s">
        <v>321</v>
      </c>
      <c r="D149" s="19" t="s">
        <v>175</v>
      </c>
      <c r="E149" s="25">
        <v>3116.8</v>
      </c>
      <c r="F149" s="248"/>
      <c r="G149" s="16"/>
      <c r="H149" s="19" t="s">
        <v>68</v>
      </c>
    </row>
    <row r="150">
      <c r="A150" s="234"/>
      <c r="B150" s="256" t="s">
        <v>1706</v>
      </c>
      <c r="C150" s="247" t="s">
        <v>1707</v>
      </c>
      <c r="D150" s="247" t="s">
        <v>153</v>
      </c>
      <c r="E150" s="257" t="s">
        <v>1708</v>
      </c>
      <c r="F150" s="256" t="s">
        <v>1709</v>
      </c>
      <c r="G150" s="241"/>
      <c r="H150" s="32"/>
    </row>
    <row r="151">
      <c r="A151" s="234"/>
      <c r="B151" s="256" t="s">
        <v>1710</v>
      </c>
      <c r="C151" s="247" t="s">
        <v>1711</v>
      </c>
      <c r="D151" s="247" t="s">
        <v>167</v>
      </c>
      <c r="E151" s="257">
        <v>3942.29</v>
      </c>
      <c r="F151" s="256" t="s">
        <v>1712</v>
      </c>
      <c r="G151" s="241"/>
      <c r="H151" s="32"/>
    </row>
    <row r="152">
      <c r="A152" s="234"/>
      <c r="B152" s="256" t="s">
        <v>1713</v>
      </c>
      <c r="C152" s="247" t="s">
        <v>1714</v>
      </c>
      <c r="D152" s="247" t="s">
        <v>175</v>
      </c>
      <c r="E152" s="257">
        <v>2640.42</v>
      </c>
      <c r="F152" s="256" t="s">
        <v>1715</v>
      </c>
      <c r="G152" s="241"/>
      <c r="H152" s="32"/>
    </row>
    <row r="153">
      <c r="A153" s="234"/>
      <c r="B153" s="256" t="s">
        <v>1716</v>
      </c>
      <c r="C153" s="247" t="s">
        <v>1717</v>
      </c>
      <c r="D153" s="247" t="s">
        <v>153</v>
      </c>
      <c r="E153" s="257">
        <v>2767.17</v>
      </c>
      <c r="F153" s="256" t="s">
        <v>1718</v>
      </c>
      <c r="G153" s="241"/>
      <c r="H153" s="32"/>
    </row>
    <row r="154">
      <c r="A154" s="234"/>
      <c r="B154" s="256" t="s">
        <v>1719</v>
      </c>
      <c r="C154" s="247" t="s">
        <v>402</v>
      </c>
      <c r="D154" s="247" t="s">
        <v>113</v>
      </c>
      <c r="E154" s="257">
        <v>991.64</v>
      </c>
      <c r="F154" s="256" t="s">
        <v>1720</v>
      </c>
      <c r="G154" s="241"/>
      <c r="H154" s="32"/>
    </row>
    <row r="155">
      <c r="A155" s="234"/>
      <c r="B155" s="256" t="s">
        <v>1721</v>
      </c>
      <c r="C155" s="247" t="s">
        <v>411</v>
      </c>
      <c r="D155" s="247" t="s">
        <v>113</v>
      </c>
      <c r="E155" s="257">
        <v>964.54</v>
      </c>
      <c r="F155" s="256" t="s">
        <v>1722</v>
      </c>
      <c r="G155" s="241"/>
      <c r="H155" s="32"/>
    </row>
    <row r="156">
      <c r="A156" s="234"/>
      <c r="B156" s="256" t="s">
        <v>1721</v>
      </c>
      <c r="C156" s="247" t="s">
        <v>411</v>
      </c>
      <c r="D156" s="247" t="s">
        <v>122</v>
      </c>
      <c r="E156" s="257">
        <v>1120.6</v>
      </c>
      <c r="F156" s="256" t="s">
        <v>1722</v>
      </c>
      <c r="G156" s="241"/>
      <c r="H156" s="32"/>
    </row>
    <row r="157">
      <c r="A157" s="234"/>
      <c r="B157" s="256" t="s">
        <v>1721</v>
      </c>
      <c r="C157" s="247" t="s">
        <v>411</v>
      </c>
      <c r="D157" s="247" t="s">
        <v>167</v>
      </c>
      <c r="E157" s="257">
        <v>1449.6</v>
      </c>
      <c r="F157" s="256" t="s">
        <v>1722</v>
      </c>
      <c r="G157" s="241"/>
      <c r="H157" s="32"/>
    </row>
    <row r="158">
      <c r="A158" s="234"/>
      <c r="B158" s="256" t="s">
        <v>1723</v>
      </c>
      <c r="C158" s="247" t="s">
        <v>1724</v>
      </c>
      <c r="D158" s="247" t="s">
        <v>175</v>
      </c>
      <c r="E158" s="257">
        <v>1464.19</v>
      </c>
      <c r="F158" s="256" t="s">
        <v>1725</v>
      </c>
      <c r="G158" s="241"/>
      <c r="H158" s="32"/>
    </row>
    <row r="159">
      <c r="A159" s="234"/>
      <c r="B159" s="256" t="s">
        <v>1726</v>
      </c>
      <c r="C159" s="247" t="s">
        <v>1727</v>
      </c>
      <c r="D159" s="247" t="s">
        <v>122</v>
      </c>
      <c r="E159" s="257">
        <v>2986.2</v>
      </c>
      <c r="F159" s="256" t="s">
        <v>1728</v>
      </c>
      <c r="G159" s="241"/>
      <c r="H159" s="32"/>
    </row>
    <row r="160">
      <c r="A160" s="234"/>
      <c r="B160" s="256" t="s">
        <v>1729</v>
      </c>
      <c r="C160" s="247" t="s">
        <v>368</v>
      </c>
      <c r="D160" s="247" t="s">
        <v>153</v>
      </c>
      <c r="E160" s="257">
        <v>702.78</v>
      </c>
      <c r="F160" s="256">
        <v>4.891080777E9</v>
      </c>
      <c r="G160" s="241"/>
      <c r="H160" s="32"/>
    </row>
    <row r="161">
      <c r="A161" s="234"/>
      <c r="B161" s="256" t="s">
        <v>1729</v>
      </c>
      <c r="C161" s="247" t="s">
        <v>368</v>
      </c>
      <c r="D161" s="247" t="s">
        <v>113</v>
      </c>
      <c r="E161" s="257">
        <v>1018.98</v>
      </c>
      <c r="F161" s="256">
        <v>4.891080777E9</v>
      </c>
      <c r="G161" s="241"/>
      <c r="H161" s="32"/>
    </row>
    <row r="162">
      <c r="A162" s="234"/>
      <c r="B162" s="256" t="s">
        <v>1730</v>
      </c>
      <c r="C162" s="247" t="s">
        <v>419</v>
      </c>
      <c r="D162" s="247" t="s">
        <v>128</v>
      </c>
      <c r="E162" s="257">
        <v>1521.76</v>
      </c>
      <c r="F162" s="256" t="s">
        <v>1731</v>
      </c>
      <c r="G162" s="241"/>
      <c r="H162" s="32"/>
    </row>
    <row r="163">
      <c r="A163" s="234"/>
      <c r="B163" s="256" t="s">
        <v>1732</v>
      </c>
      <c r="C163" s="247" t="s">
        <v>9</v>
      </c>
      <c r="D163" s="247" t="s">
        <v>175</v>
      </c>
      <c r="E163" s="257">
        <v>850.3</v>
      </c>
      <c r="F163" s="256" t="s">
        <v>1733</v>
      </c>
      <c r="G163" s="241"/>
      <c r="H163" s="32"/>
    </row>
    <row r="164">
      <c r="A164" s="234"/>
      <c r="B164" s="256" t="s">
        <v>1734</v>
      </c>
      <c r="C164" s="247" t="s">
        <v>404</v>
      </c>
      <c r="D164" s="247" t="s">
        <v>128</v>
      </c>
      <c r="E164" s="257">
        <v>674.33</v>
      </c>
      <c r="F164" s="256" t="s">
        <v>1735</v>
      </c>
      <c r="G164" s="241"/>
      <c r="H164" s="32"/>
    </row>
    <row r="165">
      <c r="A165" s="234"/>
      <c r="B165" s="256" t="s">
        <v>367</v>
      </c>
      <c r="C165" s="247" t="s">
        <v>368</v>
      </c>
      <c r="D165" s="247" t="s">
        <v>167</v>
      </c>
      <c r="E165" s="257">
        <v>1654.0</v>
      </c>
      <c r="F165" s="256" t="s">
        <v>1736</v>
      </c>
      <c r="G165" s="241"/>
      <c r="H165" s="32"/>
    </row>
    <row r="166">
      <c r="A166" s="234"/>
      <c r="B166" s="256" t="s">
        <v>1737</v>
      </c>
      <c r="C166" s="247" t="s">
        <v>1738</v>
      </c>
      <c r="D166" s="247" t="s">
        <v>185</v>
      </c>
      <c r="E166" s="257">
        <v>6114.9</v>
      </c>
      <c r="F166" s="256" t="s">
        <v>1739</v>
      </c>
      <c r="G166" s="241"/>
      <c r="H166" s="32"/>
    </row>
    <row r="167">
      <c r="A167" s="234"/>
      <c r="B167" s="256" t="s">
        <v>1740</v>
      </c>
      <c r="C167" s="247" t="s">
        <v>368</v>
      </c>
      <c r="D167" s="247" t="s">
        <v>185</v>
      </c>
      <c r="E167" s="257">
        <v>2154.76</v>
      </c>
      <c r="F167" s="256" t="s">
        <v>1741</v>
      </c>
      <c r="G167" s="241"/>
      <c r="H167" s="32"/>
    </row>
    <row r="168">
      <c r="A168" s="234"/>
      <c r="B168" s="256" t="s">
        <v>1742</v>
      </c>
      <c r="C168" s="247" t="s">
        <v>1743</v>
      </c>
      <c r="D168" s="247" t="s">
        <v>153</v>
      </c>
      <c r="E168" s="257">
        <v>1240.2</v>
      </c>
      <c r="F168" s="256" t="s">
        <v>1744</v>
      </c>
      <c r="G168" s="241"/>
      <c r="H168" s="32"/>
    </row>
    <row r="169">
      <c r="A169" s="234"/>
      <c r="B169" s="256" t="s">
        <v>1742</v>
      </c>
      <c r="C169" s="247" t="s">
        <v>1743</v>
      </c>
      <c r="D169" s="247" t="s">
        <v>175</v>
      </c>
      <c r="E169" s="257">
        <v>1602.0</v>
      </c>
      <c r="F169" s="256" t="s">
        <v>1744</v>
      </c>
      <c r="G169" s="241"/>
      <c r="H169" s="32"/>
    </row>
    <row r="170">
      <c r="A170" s="234"/>
      <c r="B170" s="69" t="s">
        <v>1745</v>
      </c>
      <c r="C170" s="19" t="s">
        <v>1746</v>
      </c>
      <c r="D170" s="19" t="s">
        <v>175</v>
      </c>
      <c r="E170" s="25">
        <v>1530.4</v>
      </c>
      <c r="F170" s="69" t="s">
        <v>1747</v>
      </c>
      <c r="G170" s="16"/>
      <c r="H170" s="19" t="s">
        <v>68</v>
      </c>
    </row>
    <row r="171">
      <c r="A171" s="234"/>
      <c r="B171" s="256" t="s">
        <v>1748</v>
      </c>
      <c r="C171" s="247" t="s">
        <v>1749</v>
      </c>
      <c r="D171" s="247" t="s">
        <v>122</v>
      </c>
      <c r="E171" s="257">
        <v>1434.6</v>
      </c>
      <c r="F171" s="256" t="s">
        <v>1750</v>
      </c>
      <c r="G171" s="241"/>
      <c r="H171" s="32"/>
    </row>
    <row r="172">
      <c r="A172" s="234"/>
      <c r="B172" s="256" t="s">
        <v>1751</v>
      </c>
      <c r="C172" s="247" t="s">
        <v>1752</v>
      </c>
      <c r="D172" s="247" t="s">
        <v>122</v>
      </c>
      <c r="E172" s="257">
        <v>1704.0</v>
      </c>
      <c r="F172" s="256" t="s">
        <v>1753</v>
      </c>
      <c r="G172" s="241"/>
      <c r="H172" s="32"/>
    </row>
    <row r="173">
      <c r="A173" s="234"/>
      <c r="B173" s="256" t="s">
        <v>1754</v>
      </c>
      <c r="C173" s="247" t="s">
        <v>1755</v>
      </c>
      <c r="D173" s="247" t="s">
        <v>175</v>
      </c>
      <c r="E173" s="257">
        <v>731.0</v>
      </c>
      <c r="F173" s="256" t="s">
        <v>1756</v>
      </c>
      <c r="G173" s="241"/>
      <c r="H173" s="32"/>
    </row>
    <row r="174">
      <c r="A174" s="234"/>
      <c r="B174" s="256" t="s">
        <v>1757</v>
      </c>
      <c r="C174" s="247" t="s">
        <v>1758</v>
      </c>
      <c r="D174" s="247" t="s">
        <v>167</v>
      </c>
      <c r="E174" s="257">
        <v>1188.3</v>
      </c>
      <c r="F174" s="256" t="s">
        <v>1759</v>
      </c>
      <c r="G174" s="241"/>
      <c r="H174" s="32"/>
    </row>
    <row r="175">
      <c r="A175" s="234"/>
      <c r="B175" s="256" t="s">
        <v>1760</v>
      </c>
      <c r="C175" s="247" t="s">
        <v>1761</v>
      </c>
      <c r="D175" s="247" t="s">
        <v>128</v>
      </c>
      <c r="E175" s="257">
        <v>1018.53</v>
      </c>
      <c r="F175" s="256" t="s">
        <v>1762</v>
      </c>
      <c r="G175" s="241"/>
      <c r="H175" s="32"/>
    </row>
    <row r="176">
      <c r="A176" s="234"/>
      <c r="B176" s="256" t="s">
        <v>1763</v>
      </c>
      <c r="C176" s="247" t="s">
        <v>1717</v>
      </c>
      <c r="D176" s="247" t="s">
        <v>122</v>
      </c>
      <c r="E176" s="257">
        <v>3475.26</v>
      </c>
      <c r="F176" s="256" t="s">
        <v>1764</v>
      </c>
      <c r="G176" s="241"/>
      <c r="H176" s="32"/>
    </row>
    <row r="177">
      <c r="A177" s="234"/>
      <c r="B177" s="256" t="s">
        <v>1765</v>
      </c>
      <c r="C177" s="247" t="s">
        <v>1766</v>
      </c>
      <c r="D177" s="247" t="s">
        <v>153</v>
      </c>
      <c r="E177" s="257">
        <v>1096.16</v>
      </c>
      <c r="F177" s="256" t="s">
        <v>1767</v>
      </c>
      <c r="G177" s="241"/>
      <c r="H177" s="32"/>
    </row>
    <row r="178">
      <c r="A178" s="234"/>
      <c r="B178" s="256" t="s">
        <v>1768</v>
      </c>
      <c r="C178" s="247" t="s">
        <v>368</v>
      </c>
      <c r="D178" s="247" t="s">
        <v>167</v>
      </c>
      <c r="E178" s="257">
        <v>1688.1</v>
      </c>
      <c r="F178" s="256" t="s">
        <v>1769</v>
      </c>
      <c r="G178" s="241"/>
      <c r="H178" s="32"/>
    </row>
    <row r="179">
      <c r="A179" s="234"/>
      <c r="B179" s="256" t="s">
        <v>1770</v>
      </c>
      <c r="C179" s="247" t="s">
        <v>1771</v>
      </c>
      <c r="D179" s="247" t="s">
        <v>128</v>
      </c>
      <c r="E179" s="257">
        <v>1269.52</v>
      </c>
      <c r="F179" s="256" t="s">
        <v>1772</v>
      </c>
      <c r="G179" s="241"/>
      <c r="H179" s="32"/>
    </row>
    <row r="180">
      <c r="A180" s="234"/>
      <c r="B180" s="256" t="s">
        <v>1721</v>
      </c>
      <c r="C180" s="247" t="s">
        <v>411</v>
      </c>
      <c r="D180" s="247" t="s">
        <v>153</v>
      </c>
      <c r="E180" s="257">
        <v>995.6</v>
      </c>
      <c r="F180" s="256" t="s">
        <v>1722</v>
      </c>
      <c r="G180" s="241"/>
      <c r="H180" s="32"/>
    </row>
    <row r="181">
      <c r="A181" s="234"/>
      <c r="B181" s="256" t="s">
        <v>1773</v>
      </c>
      <c r="C181" s="247" t="s">
        <v>1774</v>
      </c>
      <c r="D181" s="247" t="s">
        <v>113</v>
      </c>
      <c r="E181" s="257">
        <v>515.7</v>
      </c>
      <c r="F181" s="256" t="s">
        <v>1775</v>
      </c>
      <c r="G181" s="241"/>
      <c r="H181" s="32"/>
    </row>
    <row r="182">
      <c r="A182" s="234"/>
      <c r="B182" s="256" t="s">
        <v>1776</v>
      </c>
      <c r="C182" s="247" t="s">
        <v>1777</v>
      </c>
      <c r="D182" s="247" t="s">
        <v>153</v>
      </c>
      <c r="E182" s="257">
        <v>1241.97</v>
      </c>
      <c r="F182" s="256" t="s">
        <v>1778</v>
      </c>
      <c r="G182" s="241"/>
      <c r="H182" s="32"/>
    </row>
    <row r="183">
      <c r="A183" s="234"/>
      <c r="B183" s="256" t="s">
        <v>1776</v>
      </c>
      <c r="C183" s="247" t="s">
        <v>1777</v>
      </c>
      <c r="D183" s="247" t="s">
        <v>175</v>
      </c>
      <c r="E183" s="257">
        <v>1300.5</v>
      </c>
      <c r="F183" s="256" t="s">
        <v>1778</v>
      </c>
      <c r="G183" s="241"/>
      <c r="H183" s="32"/>
    </row>
    <row r="184">
      <c r="A184" s="234"/>
      <c r="B184" s="256" t="s">
        <v>1779</v>
      </c>
      <c r="C184" s="247" t="s">
        <v>1780</v>
      </c>
      <c r="D184" s="247" t="s">
        <v>167</v>
      </c>
      <c r="E184" s="257">
        <v>887.0</v>
      </c>
      <c r="F184" s="256" t="s">
        <v>1781</v>
      </c>
      <c r="G184" s="241"/>
      <c r="H184" s="32"/>
    </row>
    <row r="185">
      <c r="A185" s="234"/>
      <c r="B185" s="256" t="s">
        <v>1782</v>
      </c>
      <c r="C185" s="247" t="s">
        <v>402</v>
      </c>
      <c r="D185" s="247" t="s">
        <v>128</v>
      </c>
      <c r="E185" s="257">
        <v>1712.08</v>
      </c>
      <c r="F185" s="256" t="s">
        <v>1783</v>
      </c>
      <c r="G185" s="241"/>
      <c r="H185" s="32"/>
    </row>
    <row r="186">
      <c r="A186" s="234"/>
      <c r="B186" s="256" t="s">
        <v>1784</v>
      </c>
      <c r="C186" s="247" t="s">
        <v>368</v>
      </c>
      <c r="D186" s="247" t="s">
        <v>175</v>
      </c>
      <c r="E186" s="257">
        <v>1004.28</v>
      </c>
      <c r="F186" s="256" t="s">
        <v>1785</v>
      </c>
      <c r="G186" s="241"/>
      <c r="H186" s="32"/>
    </row>
    <row r="187">
      <c r="A187" s="240"/>
      <c r="B187" s="256" t="s">
        <v>1786</v>
      </c>
      <c r="C187" s="247" t="s">
        <v>1787</v>
      </c>
      <c r="D187" s="247" t="s">
        <v>175</v>
      </c>
      <c r="E187" s="257">
        <v>449.1</v>
      </c>
      <c r="F187" s="256" t="s">
        <v>1788</v>
      </c>
      <c r="G187" s="241"/>
      <c r="H187" s="32"/>
    </row>
    <row r="188">
      <c r="A188" s="274"/>
      <c r="B188" s="275"/>
      <c r="C188" s="275"/>
      <c r="D188" s="275"/>
      <c r="E188" s="254"/>
      <c r="F188" s="276"/>
      <c r="G188" s="254"/>
      <c r="H188" s="275"/>
    </row>
    <row r="189">
      <c r="A189" s="243" t="s">
        <v>1789</v>
      </c>
      <c r="B189" s="32" t="s">
        <v>1790</v>
      </c>
      <c r="C189" s="32" t="s">
        <v>1791</v>
      </c>
      <c r="D189" s="32" t="s">
        <v>31</v>
      </c>
      <c r="E189" s="241">
        <v>858.58</v>
      </c>
      <c r="F189" s="242" t="s">
        <v>1792</v>
      </c>
      <c r="G189" s="241"/>
      <c r="H189" s="32"/>
    </row>
    <row r="190">
      <c r="A190" s="234"/>
      <c r="B190" s="32" t="s">
        <v>1790</v>
      </c>
      <c r="C190" s="32" t="s">
        <v>1793</v>
      </c>
      <c r="D190" s="32" t="s">
        <v>10</v>
      </c>
      <c r="E190" s="241">
        <v>858.58</v>
      </c>
      <c r="F190" s="242" t="s">
        <v>1792</v>
      </c>
      <c r="G190" s="241"/>
      <c r="H190" s="32"/>
    </row>
    <row r="191">
      <c r="A191" s="234"/>
      <c r="B191" s="69" t="s">
        <v>1794</v>
      </c>
      <c r="C191" s="19" t="s">
        <v>1795</v>
      </c>
      <c r="D191" s="19" t="s">
        <v>153</v>
      </c>
      <c r="E191" s="25">
        <v>399.0</v>
      </c>
      <c r="F191" s="69" t="s">
        <v>1796</v>
      </c>
      <c r="G191" s="16"/>
      <c r="H191" s="19" t="s">
        <v>32</v>
      </c>
    </row>
    <row r="192">
      <c r="A192" s="234"/>
      <c r="B192" s="256" t="s">
        <v>1797</v>
      </c>
      <c r="C192" s="247" t="s">
        <v>454</v>
      </c>
      <c r="D192" s="247" t="s">
        <v>153</v>
      </c>
      <c r="E192" s="257">
        <v>760.24</v>
      </c>
      <c r="F192" s="256" t="s">
        <v>1798</v>
      </c>
      <c r="G192" s="241"/>
      <c r="H192" s="32"/>
    </row>
    <row r="193">
      <c r="A193" s="234"/>
      <c r="B193" s="256" t="s">
        <v>336</v>
      </c>
      <c r="C193" s="1" t="s">
        <v>1799</v>
      </c>
      <c r="D193" s="1" t="s">
        <v>10</v>
      </c>
      <c r="E193" s="96">
        <v>968.0</v>
      </c>
      <c r="F193" s="256" t="s">
        <v>1800</v>
      </c>
      <c r="G193" s="94"/>
      <c r="H193" s="10"/>
    </row>
    <row r="194">
      <c r="A194" s="234"/>
      <c r="B194" s="69" t="s">
        <v>1801</v>
      </c>
      <c r="C194" s="42" t="s">
        <v>428</v>
      </c>
      <c r="D194" s="42" t="s">
        <v>113</v>
      </c>
      <c r="E194" s="43">
        <v>475.78</v>
      </c>
      <c r="F194" s="69" t="s">
        <v>1802</v>
      </c>
      <c r="G194" s="251"/>
      <c r="H194" s="42" t="s">
        <v>68</v>
      </c>
    </row>
    <row r="195" ht="15.75" customHeight="1">
      <c r="A195" s="234"/>
      <c r="B195" s="256" t="s">
        <v>1803</v>
      </c>
      <c r="C195" s="1" t="s">
        <v>1804</v>
      </c>
      <c r="D195" s="1" t="s">
        <v>153</v>
      </c>
      <c r="E195" s="96">
        <v>2129.14</v>
      </c>
      <c r="F195" s="256" t="s">
        <v>1805</v>
      </c>
      <c r="G195" s="94"/>
      <c r="H195" s="10"/>
    </row>
    <row r="196" ht="15.75" customHeight="1">
      <c r="A196" s="234"/>
      <c r="B196" s="256" t="s">
        <v>1806</v>
      </c>
      <c r="C196" s="1" t="s">
        <v>1807</v>
      </c>
      <c r="D196" s="1" t="s">
        <v>113</v>
      </c>
      <c r="E196" s="96">
        <v>1758.57</v>
      </c>
      <c r="F196" s="256" t="s">
        <v>1808</v>
      </c>
      <c r="G196" s="94"/>
      <c r="H196" s="10"/>
    </row>
    <row r="197" ht="15.75" customHeight="1">
      <c r="A197" s="234"/>
      <c r="B197" s="256" t="s">
        <v>1809</v>
      </c>
      <c r="C197" s="1" t="s">
        <v>1810</v>
      </c>
      <c r="D197" s="1" t="s">
        <v>128</v>
      </c>
      <c r="E197" s="96">
        <v>1430.4</v>
      </c>
      <c r="F197" s="256" t="s">
        <v>1811</v>
      </c>
      <c r="G197" s="94"/>
      <c r="H197" s="10"/>
    </row>
    <row r="198" ht="15.75" customHeight="1">
      <c r="A198" s="234"/>
      <c r="B198" s="256" t="s">
        <v>1812</v>
      </c>
      <c r="C198" s="1" t="s">
        <v>1813</v>
      </c>
      <c r="D198" s="1" t="s">
        <v>122</v>
      </c>
      <c r="E198" s="96">
        <v>1522.0</v>
      </c>
      <c r="F198" s="256" t="s">
        <v>1814</v>
      </c>
      <c r="G198" s="94"/>
      <c r="H198" s="10"/>
    </row>
    <row r="199" ht="15.75" customHeight="1">
      <c r="A199" s="234"/>
      <c r="B199" s="69" t="s">
        <v>1815</v>
      </c>
      <c r="C199" s="69" t="s">
        <v>1816</v>
      </c>
      <c r="D199" s="69" t="s">
        <v>153</v>
      </c>
      <c r="E199" s="277">
        <v>2081.3</v>
      </c>
      <c r="F199" s="69" t="s">
        <v>1817</v>
      </c>
      <c r="G199" s="69"/>
      <c r="H199" s="69" t="s">
        <v>68</v>
      </c>
      <c r="I199" s="256" t="s">
        <v>1818</v>
      </c>
      <c r="J199" s="1" t="s">
        <v>1819</v>
      </c>
      <c r="K199" s="1" t="s">
        <v>113</v>
      </c>
      <c r="L199" s="96">
        <v>1433.8</v>
      </c>
      <c r="M199" s="256" t="s">
        <v>1820</v>
      </c>
      <c r="N199" s="94"/>
      <c r="O199" s="10"/>
    </row>
    <row r="200" ht="15.75" customHeight="1">
      <c r="A200" s="234"/>
      <c r="B200" s="256" t="s">
        <v>1821</v>
      </c>
      <c r="C200" s="1" t="s">
        <v>1822</v>
      </c>
      <c r="D200" s="1" t="s">
        <v>122</v>
      </c>
      <c r="E200" s="96">
        <v>2273.92</v>
      </c>
      <c r="F200" s="256" t="s">
        <v>1823</v>
      </c>
      <c r="G200" s="94"/>
      <c r="H200" s="10"/>
    </row>
    <row r="201" ht="15.75" customHeight="1">
      <c r="A201" s="234"/>
      <c r="B201" s="69" t="s">
        <v>1824</v>
      </c>
      <c r="C201" s="42" t="s">
        <v>1825</v>
      </c>
      <c r="D201" s="42" t="s">
        <v>113</v>
      </c>
      <c r="E201" s="43">
        <v>2466.36</v>
      </c>
      <c r="F201" s="69" t="s">
        <v>1826</v>
      </c>
      <c r="G201" s="251"/>
      <c r="H201" s="42" t="s">
        <v>68</v>
      </c>
    </row>
    <row r="202" ht="15.75" customHeight="1">
      <c r="A202" s="234"/>
      <c r="B202" s="69" t="s">
        <v>1824</v>
      </c>
      <c r="C202" s="42" t="s">
        <v>1825</v>
      </c>
      <c r="D202" s="42" t="s">
        <v>31</v>
      </c>
      <c r="E202" s="43">
        <v>2923.32</v>
      </c>
      <c r="F202" s="69" t="s">
        <v>1826</v>
      </c>
      <c r="G202" s="251"/>
      <c r="H202" s="42" t="s">
        <v>68</v>
      </c>
    </row>
    <row r="203" ht="15.75" customHeight="1">
      <c r="A203" s="234"/>
      <c r="B203" s="69" t="s">
        <v>1827</v>
      </c>
      <c r="C203" s="42" t="s">
        <v>1828</v>
      </c>
      <c r="D203" s="42" t="s">
        <v>185</v>
      </c>
      <c r="E203" s="43">
        <v>3090.6</v>
      </c>
      <c r="F203" s="69" t="s">
        <v>1829</v>
      </c>
      <c r="G203" s="251"/>
      <c r="H203" s="42" t="s">
        <v>68</v>
      </c>
    </row>
    <row r="204" ht="15.75" customHeight="1">
      <c r="A204" s="234"/>
      <c r="B204" s="256" t="s">
        <v>1830</v>
      </c>
      <c r="C204" s="1" t="s">
        <v>1831</v>
      </c>
      <c r="D204" s="1" t="s">
        <v>31</v>
      </c>
      <c r="E204" s="96">
        <v>2022.28</v>
      </c>
      <c r="F204" s="256" t="s">
        <v>1832</v>
      </c>
      <c r="G204" s="94"/>
      <c r="H204" s="10"/>
    </row>
    <row r="205" ht="15.75" customHeight="1">
      <c r="A205" s="234"/>
      <c r="B205" s="69" t="s">
        <v>1833</v>
      </c>
      <c r="C205" s="187" t="s">
        <v>1834</v>
      </c>
      <c r="D205" s="187" t="s">
        <v>167</v>
      </c>
      <c r="E205" s="278">
        <v>907.2</v>
      </c>
      <c r="F205" s="69" t="s">
        <v>1835</v>
      </c>
      <c r="G205" s="279"/>
      <c r="H205" s="187" t="s">
        <v>1836</v>
      </c>
    </row>
    <row r="206" ht="15.75" customHeight="1">
      <c r="A206" s="234"/>
      <c r="B206" s="69" t="s">
        <v>1837</v>
      </c>
      <c r="C206" s="42" t="s">
        <v>385</v>
      </c>
      <c r="D206" s="42" t="s">
        <v>113</v>
      </c>
      <c r="E206" s="43">
        <v>1818.54</v>
      </c>
      <c r="F206" s="69" t="s">
        <v>1838</v>
      </c>
      <c r="G206" s="251"/>
      <c r="H206" s="42" t="s">
        <v>68</v>
      </c>
    </row>
    <row r="207" ht="15.75" customHeight="1">
      <c r="A207" s="234"/>
      <c r="B207" s="256" t="s">
        <v>1839</v>
      </c>
      <c r="C207" s="1" t="s">
        <v>1840</v>
      </c>
      <c r="D207" s="1" t="s">
        <v>31</v>
      </c>
      <c r="E207" s="96">
        <v>1081.59</v>
      </c>
      <c r="F207" s="256" t="s">
        <v>1841</v>
      </c>
      <c r="G207" s="94"/>
      <c r="H207" s="10"/>
    </row>
    <row r="208" ht="15.75" customHeight="1">
      <c r="A208" s="234"/>
      <c r="B208" s="256" t="s">
        <v>1839</v>
      </c>
      <c r="C208" s="1" t="s">
        <v>1840</v>
      </c>
      <c r="D208" s="1" t="s">
        <v>153</v>
      </c>
      <c r="E208" s="96">
        <v>1081.59</v>
      </c>
      <c r="F208" s="256" t="s">
        <v>1841</v>
      </c>
      <c r="G208" s="94"/>
      <c r="H208" s="10"/>
    </row>
    <row r="209" ht="15.75" customHeight="1">
      <c r="A209" s="234"/>
      <c r="B209" s="256" t="s">
        <v>1000</v>
      </c>
      <c r="C209" s="1" t="s">
        <v>425</v>
      </c>
      <c r="D209" s="1" t="s">
        <v>128</v>
      </c>
      <c r="E209" s="96">
        <v>2328.32</v>
      </c>
      <c r="F209" s="256" t="s">
        <v>1842</v>
      </c>
      <c r="G209" s="94"/>
      <c r="H209" s="10"/>
    </row>
    <row r="210" ht="15.75" customHeight="1">
      <c r="A210" s="234"/>
      <c r="B210" s="280" t="s">
        <v>1843</v>
      </c>
      <c r="C210" s="281" t="s">
        <v>428</v>
      </c>
      <c r="D210" s="281" t="s">
        <v>153</v>
      </c>
      <c r="E210" s="282">
        <v>385.0</v>
      </c>
      <c r="F210" s="280" t="s">
        <v>1844</v>
      </c>
      <c r="G210" s="283"/>
      <c r="H210" s="281" t="s">
        <v>1452</v>
      </c>
    </row>
    <row r="211" ht="15.75" customHeight="1">
      <c r="A211" s="234"/>
      <c r="B211" s="256" t="s">
        <v>1002</v>
      </c>
      <c r="C211" s="1" t="s">
        <v>385</v>
      </c>
      <c r="D211" s="1" t="s">
        <v>113</v>
      </c>
      <c r="E211" s="96">
        <v>1595.28</v>
      </c>
      <c r="F211" s="256" t="s">
        <v>1845</v>
      </c>
      <c r="G211" s="94"/>
      <c r="H211" s="10"/>
    </row>
    <row r="212" ht="15.75" customHeight="1">
      <c r="A212" s="240"/>
      <c r="B212" s="256" t="s">
        <v>1846</v>
      </c>
      <c r="C212" s="1" t="s">
        <v>425</v>
      </c>
      <c r="D212" s="1" t="s">
        <v>118</v>
      </c>
      <c r="E212" s="96">
        <v>2876.4</v>
      </c>
      <c r="F212" s="256" t="s">
        <v>1847</v>
      </c>
      <c r="G212" s="94"/>
      <c r="H212" s="10"/>
    </row>
    <row r="213" ht="15.75" customHeight="1">
      <c r="E213" s="3"/>
      <c r="G213" s="3"/>
    </row>
    <row r="214" ht="15.75" customHeight="1">
      <c r="A214" s="230" t="s">
        <v>1299</v>
      </c>
      <c r="B214" s="256" t="s">
        <v>1848</v>
      </c>
      <c r="C214" s="1" t="s">
        <v>468</v>
      </c>
      <c r="D214" s="1" t="s">
        <v>128</v>
      </c>
      <c r="E214" s="96">
        <v>1620.0</v>
      </c>
      <c r="F214" s="256" t="s">
        <v>1849</v>
      </c>
      <c r="G214" s="94"/>
      <c r="H214" s="10"/>
    </row>
    <row r="215" ht="15.75" customHeight="1">
      <c r="A215" s="234"/>
      <c r="B215" s="266" t="s">
        <v>1850</v>
      </c>
      <c r="C215" s="1" t="s">
        <v>1007</v>
      </c>
      <c r="D215" s="1" t="s">
        <v>122</v>
      </c>
      <c r="E215" s="96">
        <v>399.2</v>
      </c>
      <c r="F215" s="266" t="s">
        <v>1851</v>
      </c>
      <c r="G215" s="94"/>
      <c r="H215" s="10"/>
    </row>
    <row r="216" ht="15.75" customHeight="1">
      <c r="A216" s="234"/>
      <c r="B216" s="10"/>
      <c r="C216" s="10"/>
      <c r="D216" s="10"/>
      <c r="E216" s="94"/>
      <c r="F216" s="10"/>
      <c r="G216" s="94"/>
      <c r="H216" s="10"/>
    </row>
    <row r="217" ht="15.75" customHeight="1">
      <c r="A217" s="234"/>
      <c r="B217" s="10"/>
      <c r="C217" s="10"/>
      <c r="D217" s="10"/>
      <c r="E217" s="94"/>
      <c r="F217" s="10"/>
      <c r="G217" s="94"/>
      <c r="H217" s="10"/>
    </row>
    <row r="218" ht="15.75" customHeight="1">
      <c r="A218" s="240"/>
      <c r="B218" s="10"/>
      <c r="C218" s="10"/>
      <c r="D218" s="10"/>
      <c r="E218" s="94"/>
      <c r="F218" s="10"/>
      <c r="G218" s="94"/>
      <c r="H218" s="10"/>
    </row>
    <row r="219" ht="15.75" customHeight="1">
      <c r="E219" s="3"/>
      <c r="G219" s="3"/>
    </row>
    <row r="220" ht="15.75" customHeight="1">
      <c r="A220" s="230" t="s">
        <v>1302</v>
      </c>
      <c r="B220" s="69" t="s">
        <v>1852</v>
      </c>
      <c r="C220" s="42" t="s">
        <v>1853</v>
      </c>
      <c r="D220" s="42" t="s">
        <v>153</v>
      </c>
      <c r="E220" s="43">
        <v>962.28</v>
      </c>
      <c r="F220" s="69" t="s">
        <v>1854</v>
      </c>
      <c r="G220" s="251"/>
      <c r="H220" s="42" t="s">
        <v>68</v>
      </c>
    </row>
    <row r="221" ht="15.75" customHeight="1">
      <c r="A221" s="234"/>
      <c r="B221" s="269" t="s">
        <v>1855</v>
      </c>
      <c r="C221" s="42" t="s">
        <v>1856</v>
      </c>
      <c r="D221" s="42" t="s">
        <v>113</v>
      </c>
      <c r="E221" s="43">
        <v>1925.1</v>
      </c>
      <c r="F221" s="269" t="s">
        <v>1857</v>
      </c>
      <c r="G221" s="251"/>
      <c r="H221" s="42" t="s">
        <v>68</v>
      </c>
    </row>
    <row r="222" ht="15.75" customHeight="1">
      <c r="A222" s="234"/>
      <c r="B222" s="10"/>
      <c r="C222" s="10"/>
      <c r="D222" s="10"/>
      <c r="E222" s="94"/>
      <c r="F222" s="10"/>
      <c r="G222" s="94"/>
      <c r="H222" s="10"/>
    </row>
    <row r="223" ht="15.75" customHeight="1">
      <c r="A223" s="234"/>
      <c r="B223" s="10"/>
      <c r="C223" s="10"/>
      <c r="D223" s="10"/>
      <c r="E223" s="94"/>
      <c r="F223" s="10"/>
      <c r="G223" s="94"/>
      <c r="H223" s="10"/>
    </row>
    <row r="224" ht="15.75" customHeight="1">
      <c r="A224" s="240"/>
      <c r="B224" s="10"/>
      <c r="C224" s="10"/>
      <c r="D224" s="10"/>
      <c r="E224" s="94"/>
      <c r="F224" s="10"/>
      <c r="G224" s="94"/>
      <c r="H224" s="10"/>
    </row>
    <row r="225" ht="15.75" customHeight="1">
      <c r="E225" s="3"/>
      <c r="G225" s="3"/>
    </row>
    <row r="226" ht="15.75" customHeight="1">
      <c r="A226" s="230" t="s">
        <v>1305</v>
      </c>
      <c r="B226" s="256" t="s">
        <v>1018</v>
      </c>
      <c r="C226" s="1" t="s">
        <v>1019</v>
      </c>
      <c r="D226" s="1" t="s">
        <v>31</v>
      </c>
      <c r="E226" s="96">
        <v>884.91</v>
      </c>
      <c r="F226" s="256" t="s">
        <v>1360</v>
      </c>
      <c r="G226" s="94"/>
      <c r="H226" s="10"/>
    </row>
    <row r="227" ht="15.75" customHeight="1">
      <c r="A227" s="234"/>
      <c r="E227" s="3"/>
      <c r="G227" s="3"/>
    </row>
    <row r="228" ht="15.75" customHeight="1">
      <c r="A228" s="234"/>
      <c r="E228" s="3"/>
      <c r="G228" s="3"/>
    </row>
    <row r="229" ht="15.75" customHeight="1">
      <c r="A229" s="234"/>
      <c r="E229" s="3"/>
      <c r="G229" s="3"/>
    </row>
    <row r="230" ht="15.75" customHeight="1">
      <c r="A230" s="240"/>
      <c r="E230" s="3"/>
      <c r="G230" s="3"/>
    </row>
    <row r="231" ht="15.75" customHeight="1">
      <c r="E231" s="3"/>
      <c r="G231" s="3"/>
    </row>
    <row r="232" ht="15.75" customHeight="1">
      <c r="A232" s="230" t="s">
        <v>1227</v>
      </c>
      <c r="B232" s="69" t="s">
        <v>1858</v>
      </c>
      <c r="C232" s="42" t="s">
        <v>1859</v>
      </c>
      <c r="D232" s="42" t="s">
        <v>167</v>
      </c>
      <c r="E232" s="43">
        <v>1640.5</v>
      </c>
      <c r="F232" s="69" t="s">
        <v>1860</v>
      </c>
      <c r="G232" s="251"/>
      <c r="H232" s="42" t="s">
        <v>68</v>
      </c>
    </row>
    <row r="233" ht="15.75" customHeight="1">
      <c r="A233" s="234"/>
      <c r="B233" s="69" t="s">
        <v>1861</v>
      </c>
      <c r="C233" s="42" t="s">
        <v>1862</v>
      </c>
      <c r="D233" s="42" t="s">
        <v>113</v>
      </c>
      <c r="E233" s="43">
        <v>962.38</v>
      </c>
      <c r="F233" s="69" t="s">
        <v>1863</v>
      </c>
      <c r="G233" s="251"/>
      <c r="H233" s="42" t="s">
        <v>68</v>
      </c>
    </row>
    <row r="234" ht="15.75" customHeight="1">
      <c r="A234" s="234"/>
      <c r="B234" s="256" t="s">
        <v>1021</v>
      </c>
      <c r="C234" s="1" t="s">
        <v>1022</v>
      </c>
      <c r="D234" s="1" t="s">
        <v>113</v>
      </c>
      <c r="E234" s="96">
        <v>1274.92</v>
      </c>
      <c r="F234" s="256" t="s">
        <v>1864</v>
      </c>
      <c r="G234" s="94"/>
      <c r="H234" s="10"/>
    </row>
    <row r="235" ht="15.75" customHeight="1">
      <c r="A235" s="234"/>
      <c r="B235" s="256" t="s">
        <v>1021</v>
      </c>
      <c r="C235" s="1" t="s">
        <v>1862</v>
      </c>
      <c r="D235" s="1" t="s">
        <v>175</v>
      </c>
      <c r="E235" s="96">
        <v>1274.92</v>
      </c>
      <c r="F235" s="256" t="s">
        <v>1864</v>
      </c>
      <c r="G235" s="94"/>
      <c r="H235" s="10"/>
    </row>
    <row r="236" ht="15.75" customHeight="1">
      <c r="A236" s="240"/>
      <c r="B236" s="256" t="s">
        <v>1024</v>
      </c>
      <c r="C236" s="1" t="s">
        <v>1865</v>
      </c>
      <c r="D236" s="1" t="s">
        <v>175</v>
      </c>
      <c r="E236" s="96">
        <v>735.12</v>
      </c>
      <c r="F236" s="256" t="s">
        <v>1866</v>
      </c>
      <c r="G236" s="94"/>
      <c r="H236" s="10"/>
    </row>
    <row r="237" ht="15.75" customHeight="1">
      <c r="E237" s="3"/>
      <c r="G237" s="3"/>
    </row>
    <row r="238" ht="15.75" customHeight="1">
      <c r="A238" s="230" t="s">
        <v>1235</v>
      </c>
      <c r="B238" s="256" t="s">
        <v>1867</v>
      </c>
      <c r="C238" s="1" t="s">
        <v>1868</v>
      </c>
      <c r="D238" s="1" t="s">
        <v>122</v>
      </c>
      <c r="E238" s="96">
        <v>2007.12</v>
      </c>
      <c r="F238" s="256" t="s">
        <v>1869</v>
      </c>
      <c r="G238" s="94"/>
      <c r="H238" s="10"/>
    </row>
    <row r="239" ht="15.75" customHeight="1">
      <c r="A239" s="234"/>
      <c r="B239" s="10"/>
      <c r="C239" s="10"/>
      <c r="D239" s="10"/>
      <c r="E239" s="94"/>
      <c r="F239" s="10"/>
      <c r="G239" s="94"/>
      <c r="H239" s="10"/>
    </row>
    <row r="240" ht="15.75" customHeight="1">
      <c r="A240" s="234"/>
      <c r="E240" s="3"/>
      <c r="G240" s="3"/>
    </row>
    <row r="241" ht="15.75" customHeight="1">
      <c r="A241" s="234"/>
      <c r="E241" s="3"/>
      <c r="G241" s="3"/>
    </row>
    <row r="242" ht="15.75" customHeight="1">
      <c r="A242" s="240"/>
      <c r="E242" s="3"/>
      <c r="G242" s="3"/>
    </row>
    <row r="243" ht="15.75" customHeight="1">
      <c r="E243" s="3"/>
      <c r="G243" s="3"/>
    </row>
    <row r="244" ht="15.75" customHeight="1">
      <c r="E244" s="3"/>
      <c r="G244" s="3"/>
    </row>
    <row r="245" ht="15.75" customHeight="1">
      <c r="A245" s="230" t="s">
        <v>1258</v>
      </c>
      <c r="B245" s="256" t="s">
        <v>1870</v>
      </c>
      <c r="C245" s="1" t="s">
        <v>1871</v>
      </c>
      <c r="D245" s="1" t="s">
        <v>50</v>
      </c>
      <c r="E245" s="96">
        <v>1153.83</v>
      </c>
      <c r="F245" s="256" t="s">
        <v>1872</v>
      </c>
      <c r="G245" s="94"/>
      <c r="H245" s="10"/>
    </row>
    <row r="246" ht="15.75" customHeight="1">
      <c r="A246" s="234"/>
      <c r="B246" s="10"/>
      <c r="C246" s="10"/>
      <c r="D246" s="10"/>
      <c r="E246" s="94"/>
      <c r="F246" s="10"/>
      <c r="G246" s="94"/>
      <c r="H246" s="10"/>
    </row>
    <row r="247" ht="15.75" customHeight="1">
      <c r="A247" s="234"/>
      <c r="B247" s="10"/>
      <c r="C247" s="10"/>
      <c r="D247" s="10"/>
      <c r="E247" s="94"/>
      <c r="F247" s="10"/>
      <c r="G247" s="94"/>
      <c r="H247" s="10"/>
    </row>
    <row r="248" ht="15.75" customHeight="1">
      <c r="A248" s="234"/>
      <c r="B248" s="10"/>
      <c r="C248" s="10"/>
      <c r="D248" s="10"/>
      <c r="E248" s="94"/>
      <c r="F248" s="10"/>
      <c r="G248" s="94"/>
      <c r="H248" s="10"/>
    </row>
    <row r="249" ht="15.75" customHeight="1">
      <c r="A249" s="240"/>
      <c r="E249" s="3"/>
      <c r="G249" s="3"/>
    </row>
    <row r="250" ht="15.75" customHeight="1">
      <c r="E250" s="3"/>
      <c r="G250" s="3"/>
    </row>
    <row r="251" ht="15.75" customHeight="1">
      <c r="A251" s="230" t="s">
        <v>1286</v>
      </c>
      <c r="B251" s="256" t="s">
        <v>1011</v>
      </c>
      <c r="C251" s="1" t="s">
        <v>1873</v>
      </c>
      <c r="D251" s="1" t="s">
        <v>257</v>
      </c>
      <c r="E251" s="96">
        <v>1296.08</v>
      </c>
      <c r="F251" s="256" t="s">
        <v>1874</v>
      </c>
      <c r="G251" s="94"/>
      <c r="H251" s="10"/>
    </row>
    <row r="252" ht="15.75" customHeight="1">
      <c r="A252" s="234"/>
      <c r="B252" s="256" t="s">
        <v>1011</v>
      </c>
      <c r="C252" s="1" t="s">
        <v>1873</v>
      </c>
      <c r="D252" s="1" t="s">
        <v>1875</v>
      </c>
      <c r="E252" s="96">
        <v>1296.08</v>
      </c>
      <c r="F252" s="256" t="s">
        <v>1874</v>
      </c>
      <c r="G252" s="94"/>
      <c r="H252" s="10"/>
    </row>
    <row r="253" ht="15.75" customHeight="1">
      <c r="A253" s="234"/>
      <c r="B253" s="256" t="s">
        <v>1011</v>
      </c>
      <c r="C253" s="1" t="s">
        <v>1873</v>
      </c>
      <c r="D253" s="1" t="s">
        <v>1428</v>
      </c>
      <c r="E253" s="96">
        <v>1491.24</v>
      </c>
      <c r="F253" s="256" t="s">
        <v>1874</v>
      </c>
      <c r="G253" s="94"/>
      <c r="H253" s="10"/>
    </row>
    <row r="254" ht="15.75" customHeight="1">
      <c r="A254" s="234"/>
      <c r="B254" s="10"/>
      <c r="C254" s="10"/>
      <c r="D254" s="10"/>
      <c r="E254" s="94"/>
      <c r="F254" s="10"/>
      <c r="G254" s="94"/>
      <c r="H254" s="10"/>
    </row>
    <row r="255" ht="15.75" customHeight="1">
      <c r="A255" s="240"/>
      <c r="E255" s="3"/>
      <c r="G255" s="3"/>
    </row>
    <row r="256" ht="15.75" customHeight="1">
      <c r="E256" s="3"/>
      <c r="G256" s="3"/>
    </row>
    <row r="257" ht="15.75" customHeight="1">
      <c r="A257" s="230" t="s">
        <v>1335</v>
      </c>
      <c r="B257" s="256" t="s">
        <v>1015</v>
      </c>
      <c r="C257" s="1" t="s">
        <v>1016</v>
      </c>
      <c r="D257" s="1" t="s">
        <v>31</v>
      </c>
      <c r="E257" s="96" t="s">
        <v>1876</v>
      </c>
      <c r="F257" s="256" t="s">
        <v>1877</v>
      </c>
      <c r="G257" s="94"/>
      <c r="H257" s="10"/>
    </row>
    <row r="258" ht="15.75" customHeight="1">
      <c r="A258" s="234"/>
      <c r="B258" s="10"/>
      <c r="C258" s="10"/>
      <c r="D258" s="10"/>
      <c r="E258" s="94"/>
      <c r="F258" s="10"/>
      <c r="G258" s="94"/>
      <c r="H258" s="10"/>
    </row>
    <row r="259" ht="15.75" customHeight="1">
      <c r="A259" s="234"/>
      <c r="E259" s="3"/>
      <c r="G259" s="3"/>
    </row>
    <row r="260" ht="15.75" customHeight="1">
      <c r="A260" s="234"/>
      <c r="E260" s="3"/>
      <c r="G260" s="3"/>
    </row>
    <row r="261" ht="15.75" customHeight="1">
      <c r="A261" s="240"/>
      <c r="E261" s="3"/>
      <c r="G261" s="3"/>
    </row>
    <row r="262" ht="15.75" customHeight="1">
      <c r="E262" s="3"/>
      <c r="G262" s="3"/>
    </row>
    <row r="263" ht="15.75" customHeight="1">
      <c r="E263" s="3"/>
      <c r="G263" s="3"/>
    </row>
    <row r="264" ht="15.75" customHeight="1">
      <c r="E264" s="3"/>
      <c r="G264" s="3"/>
    </row>
    <row r="265" ht="15.75" customHeight="1">
      <c r="E265" s="3"/>
      <c r="G265" s="3"/>
    </row>
    <row r="266" ht="15.75" customHeight="1">
      <c r="E266" s="3"/>
      <c r="G266" s="3"/>
    </row>
    <row r="267" ht="15.75" customHeight="1">
      <c r="E267" s="3"/>
      <c r="G267" s="3"/>
    </row>
    <row r="268" ht="15.75" customHeight="1">
      <c r="E268" s="3"/>
      <c r="G268" s="3"/>
    </row>
    <row r="269" ht="15.75" customHeight="1">
      <c r="E269" s="3"/>
      <c r="G269" s="3"/>
    </row>
    <row r="270" ht="15.75" customHeight="1">
      <c r="E270" s="3"/>
      <c r="G270" s="3"/>
    </row>
    <row r="271" ht="15.75" customHeight="1">
      <c r="E271" s="3"/>
      <c r="G271" s="3"/>
    </row>
    <row r="272" ht="15.75" customHeight="1">
      <c r="E272" s="3"/>
      <c r="G272" s="3"/>
    </row>
    <row r="273" ht="15.75" customHeight="1">
      <c r="E273" s="3"/>
      <c r="G273" s="3"/>
    </row>
    <row r="274" ht="15.75" customHeight="1">
      <c r="E274" s="3"/>
      <c r="G274" s="3"/>
    </row>
    <row r="275" ht="15.75" customHeight="1">
      <c r="E275" s="3"/>
      <c r="G275" s="3"/>
    </row>
    <row r="276" ht="15.75" customHeight="1">
      <c r="E276" s="3"/>
      <c r="G276" s="3"/>
    </row>
    <row r="277" ht="15.75" customHeight="1">
      <c r="E277" s="3"/>
      <c r="G277" s="3"/>
    </row>
    <row r="278" ht="15.75" customHeight="1">
      <c r="E278" s="3"/>
      <c r="G278" s="3"/>
    </row>
    <row r="279" ht="15.75" customHeight="1">
      <c r="E279" s="3"/>
      <c r="G279" s="3"/>
    </row>
    <row r="280" ht="15.75" customHeight="1">
      <c r="E280" s="3"/>
      <c r="G280" s="3"/>
    </row>
    <row r="281" ht="15.75" customHeight="1">
      <c r="E281" s="3"/>
      <c r="G281" s="3"/>
    </row>
    <row r="282" ht="15.75" customHeight="1">
      <c r="E282" s="3"/>
      <c r="G282" s="3"/>
    </row>
    <row r="283" ht="15.75" customHeight="1">
      <c r="E283" s="3"/>
      <c r="G283" s="3"/>
    </row>
    <row r="284" ht="15.75" customHeight="1">
      <c r="E284" s="3"/>
      <c r="G284" s="3"/>
    </row>
    <row r="285" ht="15.75" customHeight="1">
      <c r="E285" s="3"/>
      <c r="G285" s="3"/>
    </row>
    <row r="286" ht="15.75" customHeight="1">
      <c r="E286" s="3"/>
      <c r="G286" s="3"/>
    </row>
    <row r="287" ht="15.75" customHeight="1">
      <c r="E287" s="3"/>
      <c r="G287" s="3"/>
    </row>
    <row r="288" ht="15.75" customHeight="1">
      <c r="E288" s="3"/>
      <c r="G288" s="3"/>
    </row>
    <row r="289" ht="15.75" customHeight="1">
      <c r="E289" s="3"/>
      <c r="G289" s="3"/>
    </row>
    <row r="290" ht="15.75" customHeight="1">
      <c r="E290" s="3"/>
      <c r="G290" s="3"/>
    </row>
    <row r="291" ht="15.75" customHeight="1">
      <c r="E291" s="3"/>
      <c r="G291" s="3"/>
    </row>
    <row r="292" ht="15.75" customHeight="1">
      <c r="E292" s="3"/>
      <c r="G292" s="3"/>
    </row>
    <row r="293" ht="15.75" customHeight="1">
      <c r="E293" s="3"/>
      <c r="G293" s="3"/>
    </row>
    <row r="294" ht="15.75" customHeight="1">
      <c r="E294" s="3"/>
      <c r="G294" s="3"/>
    </row>
    <row r="295" ht="15.75" customHeight="1">
      <c r="E295" s="3"/>
      <c r="G295" s="3"/>
    </row>
    <row r="296" ht="15.75" customHeight="1">
      <c r="E296" s="3"/>
      <c r="G296" s="3"/>
    </row>
    <row r="297" ht="15.75" customHeight="1">
      <c r="E297" s="3"/>
      <c r="G297" s="3"/>
    </row>
    <row r="298" ht="15.75" customHeight="1">
      <c r="E298" s="3"/>
      <c r="G298" s="3"/>
    </row>
    <row r="299" ht="15.75" customHeight="1">
      <c r="E299" s="3"/>
      <c r="G299" s="3"/>
    </row>
    <row r="300" ht="15.75" customHeight="1">
      <c r="E300" s="3"/>
      <c r="G300" s="3"/>
    </row>
    <row r="301" ht="15.75" customHeight="1">
      <c r="E301" s="3"/>
      <c r="G301" s="3"/>
    </row>
    <row r="302" ht="15.75" customHeight="1">
      <c r="E302" s="3"/>
      <c r="G302" s="3"/>
    </row>
    <row r="303" ht="15.75" customHeight="1">
      <c r="E303" s="3"/>
      <c r="G303" s="3"/>
    </row>
    <row r="304" ht="15.75" customHeight="1">
      <c r="E304" s="3"/>
      <c r="G304" s="3"/>
    </row>
    <row r="305" ht="15.75" customHeight="1">
      <c r="E305" s="3"/>
      <c r="G305" s="3"/>
    </row>
    <row r="306" ht="15.75" customHeight="1">
      <c r="E306" s="3"/>
      <c r="G306" s="3"/>
    </row>
    <row r="307" ht="15.75" customHeight="1">
      <c r="E307" s="3"/>
      <c r="G307" s="3"/>
    </row>
    <row r="308" ht="15.75" customHeight="1">
      <c r="E308" s="3"/>
      <c r="G308" s="3"/>
    </row>
    <row r="309" ht="15.75" customHeight="1">
      <c r="E309" s="3"/>
      <c r="G309" s="3"/>
    </row>
    <row r="310" ht="15.75" customHeight="1">
      <c r="E310" s="3"/>
      <c r="G310" s="3"/>
    </row>
    <row r="311" ht="15.75" customHeight="1">
      <c r="E311" s="3"/>
      <c r="G311" s="3"/>
    </row>
    <row r="312" ht="15.75" customHeight="1">
      <c r="E312" s="3"/>
      <c r="G312" s="3"/>
    </row>
    <row r="313" ht="15.75" customHeight="1">
      <c r="E313" s="3"/>
      <c r="G313" s="3"/>
    </row>
    <row r="314" ht="15.75" customHeight="1">
      <c r="E314" s="3"/>
      <c r="G314" s="3"/>
    </row>
    <row r="315" ht="15.75" customHeight="1">
      <c r="E315" s="3"/>
      <c r="G315" s="3"/>
    </row>
    <row r="316" ht="15.75" customHeight="1">
      <c r="E316" s="3"/>
      <c r="G316" s="3"/>
    </row>
    <row r="317" ht="15.75" customHeight="1">
      <c r="E317" s="3"/>
      <c r="G317" s="3"/>
    </row>
    <row r="318" ht="15.75" customHeight="1">
      <c r="E318" s="3"/>
      <c r="G318" s="3"/>
    </row>
    <row r="319" ht="15.75" customHeight="1">
      <c r="E319" s="3"/>
      <c r="G319" s="3"/>
    </row>
    <row r="320" ht="15.75" customHeight="1">
      <c r="E320" s="3"/>
      <c r="G320" s="3"/>
    </row>
    <row r="321" ht="15.75" customHeight="1">
      <c r="E321" s="3"/>
      <c r="G321" s="3"/>
    </row>
    <row r="322" ht="15.75" customHeight="1">
      <c r="E322" s="3"/>
      <c r="G322" s="3"/>
    </row>
    <row r="323" ht="15.75" customHeight="1">
      <c r="E323" s="3"/>
      <c r="G323" s="3"/>
    </row>
    <row r="324" ht="15.75" customHeight="1">
      <c r="E324" s="3"/>
      <c r="G324" s="3"/>
    </row>
    <row r="325" ht="15.75" customHeight="1">
      <c r="E325" s="3"/>
      <c r="G325" s="3"/>
    </row>
    <row r="326" ht="15.75" customHeight="1">
      <c r="E326" s="3"/>
      <c r="G326" s="3"/>
    </row>
    <row r="327" ht="15.75" customHeight="1">
      <c r="E327" s="3"/>
      <c r="G327" s="3"/>
    </row>
    <row r="328" ht="15.75" customHeight="1">
      <c r="E328" s="3"/>
      <c r="G328" s="3"/>
    </row>
    <row r="329" ht="15.75" customHeight="1">
      <c r="E329" s="3"/>
      <c r="G329" s="3"/>
    </row>
    <row r="330" ht="15.75" customHeight="1">
      <c r="E330" s="3"/>
      <c r="G330" s="3"/>
    </row>
    <row r="331" ht="15.75" customHeight="1">
      <c r="E331" s="3"/>
      <c r="G331" s="3"/>
    </row>
    <row r="332" ht="15.75" customHeight="1">
      <c r="E332" s="3"/>
      <c r="G332" s="3"/>
    </row>
    <row r="333" ht="15.75" customHeight="1">
      <c r="E333" s="3"/>
      <c r="G333" s="3"/>
    </row>
    <row r="334" ht="15.75" customHeight="1">
      <c r="E334" s="3"/>
      <c r="G334" s="3"/>
    </row>
    <row r="335" ht="15.75" customHeight="1">
      <c r="E335" s="3"/>
      <c r="G335" s="3"/>
    </row>
    <row r="336" ht="15.75" customHeight="1">
      <c r="E336" s="3"/>
      <c r="G336" s="3"/>
    </row>
    <row r="337" ht="15.75" customHeight="1">
      <c r="E337" s="3"/>
      <c r="G337" s="3"/>
    </row>
    <row r="338" ht="15.75" customHeight="1">
      <c r="E338" s="3"/>
      <c r="G338" s="3"/>
    </row>
    <row r="339" ht="15.75" customHeight="1">
      <c r="E339" s="3"/>
      <c r="G339" s="3"/>
    </row>
    <row r="340" ht="15.75" customHeight="1">
      <c r="E340" s="3"/>
      <c r="G340" s="3"/>
    </row>
    <row r="341" ht="15.75" customHeight="1">
      <c r="E341" s="3"/>
      <c r="G341" s="3"/>
    </row>
    <row r="342" ht="15.75" customHeight="1">
      <c r="E342" s="3"/>
      <c r="G342" s="3"/>
    </row>
    <row r="343" ht="15.75" customHeight="1">
      <c r="E343" s="3"/>
      <c r="G343" s="3"/>
    </row>
    <row r="344" ht="15.75" customHeight="1">
      <c r="E344" s="3"/>
      <c r="G344" s="3"/>
    </row>
    <row r="345" ht="15.75" customHeight="1">
      <c r="E345" s="3"/>
      <c r="G345" s="3"/>
    </row>
    <row r="346" ht="15.75" customHeight="1">
      <c r="E346" s="3"/>
      <c r="G346" s="3"/>
    </row>
    <row r="347" ht="15.75" customHeight="1">
      <c r="E347" s="3"/>
      <c r="G347" s="3"/>
    </row>
    <row r="348" ht="15.75" customHeight="1">
      <c r="E348" s="3"/>
      <c r="G348" s="3"/>
    </row>
    <row r="349" ht="15.75" customHeight="1">
      <c r="E349" s="3"/>
      <c r="G349" s="3"/>
    </row>
    <row r="350" ht="15.75" customHeight="1">
      <c r="E350" s="3"/>
      <c r="G350" s="3"/>
    </row>
    <row r="351" ht="15.75" customHeight="1">
      <c r="E351" s="3"/>
      <c r="G351" s="3"/>
    </row>
    <row r="352" ht="15.75" customHeight="1">
      <c r="E352" s="3"/>
      <c r="G352" s="3"/>
    </row>
    <row r="353" ht="15.75" customHeight="1">
      <c r="E353" s="3"/>
      <c r="G353" s="3"/>
    </row>
    <row r="354" ht="15.75" customHeight="1">
      <c r="E354" s="3"/>
      <c r="G354" s="3"/>
    </row>
    <row r="355" ht="15.75" customHeight="1">
      <c r="E355" s="3"/>
      <c r="G355" s="3"/>
    </row>
    <row r="356" ht="15.75" customHeight="1">
      <c r="E356" s="3"/>
      <c r="G356" s="3"/>
    </row>
    <row r="357" ht="15.75" customHeight="1">
      <c r="E357" s="3"/>
      <c r="G357" s="3"/>
    </row>
    <row r="358" ht="15.75" customHeight="1">
      <c r="E358" s="3"/>
      <c r="G358" s="3"/>
    </row>
    <row r="359" ht="15.75" customHeight="1">
      <c r="E359" s="3"/>
      <c r="G359" s="3"/>
    </row>
    <row r="360" ht="15.75" customHeight="1">
      <c r="E360" s="3"/>
      <c r="G360" s="3"/>
    </row>
    <row r="361" ht="15.75" customHeight="1">
      <c r="E361" s="3"/>
      <c r="G361" s="3"/>
    </row>
    <row r="362" ht="15.75" customHeight="1">
      <c r="E362" s="3"/>
      <c r="G362" s="3"/>
    </row>
    <row r="363" ht="15.75" customHeight="1">
      <c r="E363" s="3"/>
      <c r="G363" s="3"/>
    </row>
    <row r="364" ht="15.75" customHeight="1">
      <c r="E364" s="3"/>
      <c r="G364" s="3"/>
    </row>
    <row r="365" ht="15.75" customHeight="1">
      <c r="E365" s="3"/>
      <c r="G365" s="3"/>
    </row>
    <row r="366" ht="15.75" customHeight="1">
      <c r="E366" s="3"/>
      <c r="G366" s="3"/>
    </row>
    <row r="367" ht="15.75" customHeight="1">
      <c r="E367" s="3"/>
      <c r="G367" s="3"/>
    </row>
    <row r="368" ht="15.75" customHeight="1">
      <c r="E368" s="3"/>
      <c r="G368" s="3"/>
    </row>
    <row r="369" ht="15.75" customHeight="1">
      <c r="E369" s="3"/>
      <c r="G369" s="3"/>
    </row>
    <row r="370" ht="15.75" customHeight="1">
      <c r="E370" s="3"/>
      <c r="G370" s="3"/>
    </row>
    <row r="371" ht="15.75" customHeight="1">
      <c r="E371" s="3"/>
      <c r="G371" s="3"/>
    </row>
    <row r="372" ht="15.75" customHeight="1">
      <c r="E372" s="3"/>
      <c r="G372" s="3"/>
    </row>
    <row r="373" ht="15.75" customHeight="1">
      <c r="E373" s="3"/>
      <c r="G373" s="3"/>
    </row>
    <row r="374" ht="15.75" customHeight="1">
      <c r="E374" s="3"/>
      <c r="G374" s="3"/>
    </row>
    <row r="375" ht="15.75" customHeight="1">
      <c r="E375" s="3"/>
      <c r="G375" s="3"/>
    </row>
    <row r="376" ht="15.75" customHeight="1">
      <c r="E376" s="3"/>
      <c r="G376" s="3"/>
    </row>
    <row r="377" ht="15.75" customHeight="1">
      <c r="E377" s="3"/>
      <c r="G377" s="3"/>
    </row>
    <row r="378" ht="15.75" customHeight="1">
      <c r="E378" s="3"/>
      <c r="G378" s="3"/>
    </row>
    <row r="379" ht="15.75" customHeight="1">
      <c r="E379" s="3"/>
      <c r="G379" s="3"/>
    </row>
    <row r="380" ht="15.75" customHeight="1">
      <c r="E380" s="3"/>
      <c r="G380" s="3"/>
    </row>
    <row r="381" ht="15.75" customHeight="1">
      <c r="E381" s="3"/>
      <c r="G381" s="3"/>
    </row>
    <row r="382" ht="15.75" customHeight="1">
      <c r="E382" s="3"/>
      <c r="G382" s="3"/>
    </row>
    <row r="383" ht="15.75" customHeight="1">
      <c r="E383" s="3"/>
      <c r="G383" s="3"/>
    </row>
    <row r="384" ht="15.75" customHeight="1">
      <c r="E384" s="3"/>
      <c r="G384" s="3"/>
    </row>
    <row r="385" ht="15.75" customHeight="1">
      <c r="E385" s="3"/>
      <c r="G385" s="3"/>
    </row>
    <row r="386" ht="15.75" customHeight="1">
      <c r="E386" s="3"/>
      <c r="G386" s="3"/>
    </row>
    <row r="387" ht="15.75" customHeight="1">
      <c r="E387" s="3"/>
      <c r="G387" s="3"/>
    </row>
    <row r="388" ht="15.75" customHeight="1">
      <c r="E388" s="3"/>
      <c r="G388" s="3"/>
    </row>
    <row r="389" ht="15.75" customHeight="1">
      <c r="E389" s="3"/>
      <c r="G389" s="3"/>
    </row>
    <row r="390" ht="15.75" customHeight="1">
      <c r="E390" s="3"/>
      <c r="G390" s="3"/>
    </row>
    <row r="391" ht="15.75" customHeight="1">
      <c r="E391" s="3"/>
      <c r="G391" s="3"/>
    </row>
    <row r="392" ht="15.75" customHeight="1">
      <c r="E392" s="3"/>
      <c r="G392" s="3"/>
    </row>
    <row r="393" ht="15.75" customHeight="1">
      <c r="E393" s="3"/>
      <c r="G393" s="3"/>
    </row>
    <row r="394" ht="15.75" customHeight="1">
      <c r="E394" s="3"/>
      <c r="G394" s="3"/>
    </row>
    <row r="395" ht="15.75" customHeight="1">
      <c r="E395" s="3"/>
      <c r="G395" s="3"/>
    </row>
    <row r="396" ht="15.75" customHeight="1">
      <c r="E396" s="3"/>
      <c r="G396" s="3"/>
    </row>
    <row r="397" ht="15.75" customHeight="1">
      <c r="E397" s="3"/>
      <c r="G397" s="3"/>
    </row>
    <row r="398" ht="15.75" customHeight="1">
      <c r="E398" s="3"/>
      <c r="G398" s="3"/>
    </row>
    <row r="399" ht="15.75" customHeight="1">
      <c r="E399" s="3"/>
      <c r="G399" s="3"/>
    </row>
    <row r="400" ht="15.75" customHeight="1">
      <c r="E400" s="3"/>
      <c r="G400" s="3"/>
    </row>
    <row r="401" ht="15.75" customHeight="1">
      <c r="E401" s="3"/>
      <c r="G401" s="3"/>
    </row>
    <row r="402" ht="15.75" customHeight="1">
      <c r="E402" s="3"/>
      <c r="G402" s="3"/>
    </row>
    <row r="403" ht="15.75" customHeight="1">
      <c r="E403" s="3"/>
      <c r="G403" s="3"/>
    </row>
    <row r="404" ht="15.75" customHeight="1">
      <c r="E404" s="3"/>
      <c r="G404" s="3"/>
    </row>
    <row r="405" ht="15.75" customHeight="1">
      <c r="E405" s="3"/>
      <c r="G405" s="3"/>
    </row>
    <row r="406" ht="15.75" customHeight="1">
      <c r="E406" s="3"/>
      <c r="G406" s="3"/>
    </row>
    <row r="407" ht="15.75" customHeight="1">
      <c r="E407" s="3"/>
      <c r="G407" s="3"/>
    </row>
    <row r="408" ht="15.75" customHeight="1">
      <c r="E408" s="3"/>
      <c r="G408" s="3"/>
    </row>
    <row r="409" ht="15.75" customHeight="1">
      <c r="E409" s="3"/>
      <c r="G409" s="3"/>
    </row>
    <row r="410" ht="15.75" customHeight="1">
      <c r="E410" s="3"/>
      <c r="G410" s="3"/>
    </row>
    <row r="411" ht="15.75" customHeight="1">
      <c r="E411" s="3"/>
      <c r="G411" s="3"/>
    </row>
    <row r="412" ht="15.75" customHeight="1">
      <c r="E412" s="3"/>
      <c r="G412" s="3"/>
    </row>
    <row r="413" ht="15.75" customHeight="1">
      <c r="E413" s="3"/>
      <c r="G413" s="3"/>
    </row>
    <row r="414" ht="15.75" customHeight="1">
      <c r="E414" s="3"/>
      <c r="G414" s="3"/>
    </row>
    <row r="415" ht="15.75" customHeight="1">
      <c r="E415" s="3"/>
      <c r="G415" s="3"/>
    </row>
    <row r="416" ht="15.75" customHeight="1">
      <c r="E416" s="3"/>
      <c r="G416" s="3"/>
    </row>
    <row r="417" ht="15.75" customHeight="1">
      <c r="E417" s="3"/>
      <c r="G417" s="3"/>
    </row>
    <row r="418" ht="15.75" customHeight="1">
      <c r="E418" s="3"/>
      <c r="G418" s="3"/>
    </row>
    <row r="419" ht="15.75" customHeight="1">
      <c r="E419" s="3"/>
      <c r="G419" s="3"/>
    </row>
    <row r="420" ht="15.75" customHeight="1">
      <c r="E420" s="3"/>
      <c r="G420" s="3"/>
    </row>
    <row r="421" ht="15.75" customHeight="1">
      <c r="E421" s="3"/>
      <c r="G421" s="3"/>
    </row>
    <row r="422" ht="15.75" customHeight="1">
      <c r="E422" s="3"/>
      <c r="G422" s="3"/>
    </row>
    <row r="423" ht="15.75" customHeight="1">
      <c r="E423" s="3"/>
      <c r="G423" s="3"/>
    </row>
    <row r="424" ht="15.75" customHeight="1">
      <c r="E424" s="3"/>
      <c r="G424" s="3"/>
    </row>
    <row r="425" ht="15.75" customHeight="1">
      <c r="E425" s="3"/>
      <c r="G425" s="3"/>
    </row>
    <row r="426" ht="15.75" customHeight="1">
      <c r="E426" s="3"/>
      <c r="G426" s="3"/>
    </row>
    <row r="427" ht="15.75" customHeight="1">
      <c r="E427" s="3"/>
      <c r="G427" s="3"/>
    </row>
    <row r="428" ht="15.75" customHeight="1">
      <c r="E428" s="3"/>
      <c r="G428" s="3"/>
    </row>
    <row r="429" ht="15.75" customHeight="1">
      <c r="E429" s="3"/>
      <c r="G429" s="3"/>
    </row>
    <row r="430" ht="15.75" customHeight="1">
      <c r="E430" s="3"/>
      <c r="G430" s="3"/>
    </row>
    <row r="431" ht="15.75" customHeight="1">
      <c r="E431" s="3"/>
      <c r="G431" s="3"/>
    </row>
    <row r="432" ht="15.75" customHeight="1">
      <c r="E432" s="3"/>
      <c r="G432" s="3"/>
    </row>
    <row r="433" ht="15.75" customHeight="1">
      <c r="E433" s="3"/>
      <c r="G433" s="3"/>
    </row>
    <row r="434" ht="15.75" customHeight="1">
      <c r="E434" s="3"/>
      <c r="G434" s="3"/>
    </row>
    <row r="435" ht="15.75" customHeight="1">
      <c r="E435" s="3"/>
      <c r="G435" s="3"/>
    </row>
    <row r="436" ht="15.75" customHeight="1">
      <c r="E436" s="3"/>
      <c r="G436" s="3"/>
    </row>
    <row r="437" ht="15.75" customHeight="1">
      <c r="E437" s="3"/>
      <c r="G437" s="3"/>
    </row>
    <row r="438" ht="15.75" customHeight="1">
      <c r="E438" s="3"/>
      <c r="G438" s="3"/>
    </row>
    <row r="439" ht="15.75" customHeight="1">
      <c r="E439" s="3"/>
      <c r="G439" s="3"/>
    </row>
    <row r="440" ht="15.75" customHeight="1">
      <c r="E440" s="3"/>
      <c r="G440" s="3"/>
    </row>
    <row r="441" ht="15.75" customHeight="1">
      <c r="E441" s="3"/>
      <c r="G441" s="3"/>
    </row>
    <row r="442" ht="15.75" customHeight="1">
      <c r="E442" s="3"/>
      <c r="G442" s="3"/>
    </row>
    <row r="443" ht="15.75" customHeight="1">
      <c r="E443" s="3"/>
      <c r="G443" s="3"/>
    </row>
    <row r="444" ht="15.75" customHeight="1">
      <c r="E444" s="3"/>
      <c r="G444" s="3"/>
    </row>
    <row r="445" ht="15.75" customHeight="1">
      <c r="E445" s="3"/>
      <c r="G445" s="3"/>
    </row>
    <row r="446" ht="15.75" customHeight="1">
      <c r="E446" s="3"/>
      <c r="G446" s="3"/>
    </row>
    <row r="447" ht="15.75" customHeight="1">
      <c r="E447" s="3"/>
      <c r="G447" s="3"/>
    </row>
    <row r="448" ht="15.75" customHeight="1">
      <c r="E448" s="3"/>
      <c r="G448" s="3"/>
    </row>
    <row r="449" ht="15.75" customHeight="1">
      <c r="E449" s="3"/>
      <c r="G449" s="3"/>
    </row>
    <row r="450" ht="15.75" customHeight="1">
      <c r="E450" s="3"/>
      <c r="G450" s="3"/>
    </row>
    <row r="451" ht="15.75" customHeight="1">
      <c r="E451" s="3"/>
      <c r="G451" s="3"/>
    </row>
    <row r="452" ht="15.75" customHeight="1">
      <c r="E452" s="3"/>
      <c r="G452" s="3"/>
    </row>
    <row r="453" ht="15.75" customHeight="1">
      <c r="E453" s="3"/>
      <c r="G453" s="3"/>
    </row>
    <row r="454" ht="15.75" customHeight="1">
      <c r="E454" s="3"/>
      <c r="G454" s="3"/>
    </row>
    <row r="455" ht="15.75" customHeight="1">
      <c r="E455" s="3"/>
      <c r="G455" s="3"/>
    </row>
    <row r="456" ht="15.75" customHeight="1">
      <c r="E456" s="3"/>
      <c r="G456" s="3"/>
    </row>
    <row r="457" ht="15.75" customHeight="1">
      <c r="E457" s="3"/>
      <c r="G457" s="3"/>
    </row>
    <row r="458" ht="15.75" customHeight="1">
      <c r="E458" s="3"/>
      <c r="G458" s="3"/>
    </row>
    <row r="459" ht="15.75" customHeight="1">
      <c r="E459" s="3"/>
      <c r="G459" s="3"/>
    </row>
    <row r="460" ht="15.75" customHeight="1">
      <c r="E460" s="3"/>
      <c r="G460" s="3"/>
    </row>
    <row r="461" ht="15.75" customHeight="1">
      <c r="E461" s="3"/>
      <c r="G461" s="3"/>
    </row>
    <row r="462" ht="15.75" customHeight="1">
      <c r="E462" s="3"/>
      <c r="G462" s="3"/>
    </row>
    <row r="463" ht="15.75" customHeight="1">
      <c r="E463" s="3"/>
      <c r="G463" s="3"/>
    </row>
    <row r="464" ht="15.75" customHeight="1">
      <c r="E464" s="3"/>
      <c r="G464" s="3"/>
    </row>
    <row r="465" ht="15.75" customHeight="1">
      <c r="E465" s="3"/>
      <c r="G465" s="3"/>
    </row>
    <row r="466" ht="15.75" customHeight="1">
      <c r="E466" s="3"/>
      <c r="G466" s="3"/>
    </row>
    <row r="467" ht="15.75" customHeight="1">
      <c r="E467" s="3"/>
      <c r="G467" s="3"/>
    </row>
    <row r="468" ht="15.75" customHeight="1">
      <c r="E468" s="3"/>
      <c r="G468" s="3"/>
    </row>
    <row r="469" ht="15.75" customHeight="1">
      <c r="E469" s="3"/>
      <c r="G469" s="3"/>
    </row>
    <row r="470" ht="15.75" customHeight="1">
      <c r="E470" s="3"/>
      <c r="G470" s="3"/>
    </row>
    <row r="471" ht="15.75" customHeight="1">
      <c r="E471" s="3"/>
      <c r="G471" s="3"/>
    </row>
    <row r="472" ht="15.75" customHeight="1">
      <c r="E472" s="3"/>
      <c r="G472" s="3"/>
    </row>
    <row r="473" ht="15.75" customHeight="1">
      <c r="E473" s="3"/>
      <c r="G473" s="3"/>
    </row>
    <row r="474" ht="15.75" customHeight="1">
      <c r="E474" s="3"/>
      <c r="G474" s="3"/>
    </row>
    <row r="475" ht="15.75" customHeight="1">
      <c r="E475" s="3"/>
      <c r="G475" s="3"/>
    </row>
    <row r="476" ht="15.75" customHeight="1">
      <c r="E476" s="3"/>
      <c r="G476" s="3"/>
    </row>
    <row r="477" ht="15.75" customHeight="1">
      <c r="E477" s="3"/>
      <c r="G477" s="3"/>
    </row>
    <row r="478" ht="15.75" customHeight="1">
      <c r="E478" s="3"/>
      <c r="G478" s="3"/>
    </row>
    <row r="479" ht="15.75" customHeight="1">
      <c r="E479" s="3"/>
      <c r="G479" s="3"/>
    </row>
    <row r="480" ht="15.75" customHeight="1">
      <c r="E480" s="3"/>
      <c r="G480" s="3"/>
    </row>
    <row r="481" ht="15.75" customHeight="1">
      <c r="E481" s="3"/>
      <c r="G481" s="3"/>
    </row>
    <row r="482" ht="15.75" customHeight="1">
      <c r="E482" s="3"/>
      <c r="G482" s="3"/>
    </row>
    <row r="483" ht="15.75" customHeight="1">
      <c r="E483" s="3"/>
      <c r="G483" s="3"/>
    </row>
    <row r="484" ht="15.75" customHeight="1">
      <c r="E484" s="3"/>
      <c r="G484" s="3"/>
    </row>
    <row r="485" ht="15.75" customHeight="1">
      <c r="E485" s="3"/>
      <c r="G485" s="3"/>
    </row>
    <row r="486" ht="15.75" customHeight="1">
      <c r="E486" s="3"/>
      <c r="G486" s="3"/>
    </row>
    <row r="487" ht="15.75" customHeight="1">
      <c r="E487" s="3"/>
      <c r="G487" s="3"/>
    </row>
    <row r="488" ht="15.75" customHeight="1">
      <c r="E488" s="3"/>
      <c r="G488" s="3"/>
    </row>
    <row r="489" ht="15.75" customHeight="1">
      <c r="E489" s="3"/>
      <c r="G489" s="3"/>
    </row>
    <row r="490" ht="15.75" customHeight="1">
      <c r="E490" s="3"/>
      <c r="G490" s="3"/>
    </row>
    <row r="491" ht="15.75" customHeight="1">
      <c r="E491" s="3"/>
      <c r="G491" s="3"/>
    </row>
    <row r="492" ht="15.75" customHeight="1">
      <c r="E492" s="3"/>
      <c r="G492" s="3"/>
    </row>
    <row r="493" ht="15.75" customHeight="1">
      <c r="E493" s="3"/>
      <c r="G493" s="3"/>
    </row>
    <row r="494" ht="15.75" customHeight="1">
      <c r="E494" s="3"/>
      <c r="G494" s="3"/>
    </row>
    <row r="495" ht="15.75" customHeight="1">
      <c r="E495" s="3"/>
      <c r="G495" s="3"/>
    </row>
    <row r="496" ht="15.75" customHeight="1">
      <c r="E496" s="3"/>
      <c r="G496" s="3"/>
    </row>
    <row r="497" ht="15.75" customHeight="1">
      <c r="E497" s="3"/>
      <c r="G497" s="3"/>
    </row>
    <row r="498" ht="15.75" customHeight="1">
      <c r="E498" s="3"/>
      <c r="G498" s="3"/>
    </row>
    <row r="499" ht="15.75" customHeight="1">
      <c r="E499" s="3"/>
      <c r="G499" s="3"/>
    </row>
    <row r="500" ht="15.75" customHeight="1">
      <c r="E500" s="3"/>
      <c r="G500" s="3"/>
    </row>
    <row r="501" ht="15.75" customHeight="1">
      <c r="E501" s="3"/>
      <c r="G501" s="3"/>
    </row>
    <row r="502" ht="15.75" customHeight="1">
      <c r="E502" s="3"/>
      <c r="G502" s="3"/>
    </row>
    <row r="503" ht="15.75" customHeight="1">
      <c r="E503" s="3"/>
      <c r="G503" s="3"/>
    </row>
    <row r="504" ht="15.75" customHeight="1">
      <c r="E504" s="3"/>
      <c r="G504" s="3"/>
    </row>
    <row r="505" ht="15.75" customHeight="1">
      <c r="E505" s="3"/>
      <c r="G505" s="3"/>
    </row>
    <row r="506" ht="15.75" customHeight="1">
      <c r="E506" s="3"/>
      <c r="G506" s="3"/>
    </row>
    <row r="507" ht="15.75" customHeight="1">
      <c r="E507" s="3"/>
      <c r="G507" s="3"/>
    </row>
    <row r="508" ht="15.75" customHeight="1">
      <c r="E508" s="3"/>
      <c r="G508" s="3"/>
    </row>
    <row r="509" ht="15.75" customHeight="1">
      <c r="E509" s="3"/>
      <c r="G509" s="3"/>
    </row>
    <row r="510" ht="15.75" customHeight="1">
      <c r="E510" s="3"/>
      <c r="G510" s="3"/>
    </row>
    <row r="511" ht="15.75" customHeight="1">
      <c r="E511" s="3"/>
      <c r="G511" s="3"/>
    </row>
    <row r="512" ht="15.75" customHeight="1">
      <c r="E512" s="3"/>
      <c r="G512" s="3"/>
    </row>
    <row r="513" ht="15.75" customHeight="1">
      <c r="E513" s="3"/>
      <c r="G513" s="3"/>
    </row>
    <row r="514" ht="15.75" customHeight="1">
      <c r="E514" s="3"/>
      <c r="G514" s="3"/>
    </row>
    <row r="515" ht="15.75" customHeight="1">
      <c r="E515" s="3"/>
      <c r="G515" s="3"/>
    </row>
    <row r="516" ht="15.75" customHeight="1">
      <c r="E516" s="3"/>
      <c r="G516" s="3"/>
    </row>
    <row r="517" ht="15.75" customHeight="1">
      <c r="E517" s="3"/>
      <c r="G517" s="3"/>
    </row>
    <row r="518" ht="15.75" customHeight="1">
      <c r="E518" s="3"/>
      <c r="G518" s="3"/>
    </row>
    <row r="519" ht="15.75" customHeight="1">
      <c r="E519" s="3"/>
      <c r="G519" s="3"/>
    </row>
    <row r="520" ht="15.75" customHeight="1">
      <c r="E520" s="3"/>
      <c r="G520" s="3"/>
    </row>
    <row r="521" ht="15.75" customHeight="1">
      <c r="E521" s="3"/>
      <c r="G521" s="3"/>
    </row>
    <row r="522" ht="15.75" customHeight="1">
      <c r="E522" s="3"/>
      <c r="G522" s="3"/>
    </row>
    <row r="523" ht="15.75" customHeight="1">
      <c r="E523" s="3"/>
      <c r="G523" s="3"/>
    </row>
    <row r="524" ht="15.75" customHeight="1">
      <c r="E524" s="3"/>
      <c r="G524" s="3"/>
    </row>
    <row r="525" ht="15.75" customHeight="1">
      <c r="E525" s="3"/>
      <c r="G525" s="3"/>
    </row>
    <row r="526" ht="15.75" customHeight="1">
      <c r="E526" s="3"/>
      <c r="G526" s="3"/>
    </row>
    <row r="527" ht="15.75" customHeight="1">
      <c r="E527" s="3"/>
      <c r="G527" s="3"/>
    </row>
    <row r="528" ht="15.75" customHeight="1">
      <c r="E528" s="3"/>
      <c r="G528" s="3"/>
    </row>
    <row r="529" ht="15.75" customHeight="1">
      <c r="E529" s="3"/>
      <c r="G529" s="3"/>
    </row>
    <row r="530" ht="15.75" customHeight="1">
      <c r="E530" s="3"/>
      <c r="G530" s="3"/>
    </row>
    <row r="531" ht="15.75" customHeight="1">
      <c r="E531" s="3"/>
      <c r="G531" s="3"/>
    </row>
    <row r="532" ht="15.75" customHeight="1">
      <c r="E532" s="3"/>
      <c r="G532" s="3"/>
    </row>
    <row r="533" ht="15.75" customHeight="1">
      <c r="E533" s="3"/>
      <c r="G533" s="3"/>
    </row>
    <row r="534" ht="15.75" customHeight="1">
      <c r="E534" s="3"/>
      <c r="G534" s="3"/>
    </row>
    <row r="535" ht="15.75" customHeight="1">
      <c r="E535" s="3"/>
      <c r="G535" s="3"/>
    </row>
    <row r="536" ht="15.75" customHeight="1">
      <c r="E536" s="3"/>
      <c r="G536" s="3"/>
    </row>
    <row r="537" ht="15.75" customHeight="1">
      <c r="E537" s="3"/>
      <c r="G537" s="3"/>
    </row>
    <row r="538" ht="15.75" customHeight="1">
      <c r="E538" s="3"/>
      <c r="G538" s="3"/>
    </row>
    <row r="539" ht="15.75" customHeight="1">
      <c r="E539" s="3"/>
      <c r="G539" s="3"/>
    </row>
    <row r="540" ht="15.75" customHeight="1">
      <c r="E540" s="3"/>
      <c r="G540" s="3"/>
    </row>
    <row r="541" ht="15.75" customHeight="1">
      <c r="E541" s="3"/>
      <c r="G541" s="3"/>
    </row>
    <row r="542" ht="15.75" customHeight="1">
      <c r="E542" s="3"/>
      <c r="G542" s="3"/>
    </row>
    <row r="543" ht="15.75" customHeight="1">
      <c r="E543" s="3"/>
      <c r="G543" s="3"/>
    </row>
    <row r="544" ht="15.75" customHeight="1">
      <c r="E544" s="3"/>
      <c r="G544" s="3"/>
    </row>
    <row r="545" ht="15.75" customHeight="1">
      <c r="E545" s="3"/>
      <c r="G545" s="3"/>
    </row>
    <row r="546" ht="15.75" customHeight="1">
      <c r="E546" s="3"/>
      <c r="G546" s="3"/>
    </row>
    <row r="547" ht="15.75" customHeight="1">
      <c r="E547" s="3"/>
      <c r="G547" s="3"/>
    </row>
    <row r="548" ht="15.75" customHeight="1">
      <c r="E548" s="3"/>
      <c r="G548" s="3"/>
    </row>
    <row r="549" ht="15.75" customHeight="1">
      <c r="E549" s="3"/>
      <c r="G549" s="3"/>
    </row>
    <row r="550" ht="15.75" customHeight="1">
      <c r="E550" s="3"/>
      <c r="G550" s="3"/>
    </row>
    <row r="551" ht="15.75" customHeight="1">
      <c r="E551" s="3"/>
      <c r="G551" s="3"/>
    </row>
    <row r="552" ht="15.75" customHeight="1">
      <c r="E552" s="3"/>
      <c r="G552" s="3"/>
    </row>
    <row r="553" ht="15.75" customHeight="1">
      <c r="E553" s="3"/>
      <c r="G553" s="3"/>
    </row>
    <row r="554" ht="15.75" customHeight="1">
      <c r="E554" s="3"/>
      <c r="G554" s="3"/>
    </row>
    <row r="555" ht="15.75" customHeight="1">
      <c r="E555" s="3"/>
      <c r="G555" s="3"/>
    </row>
    <row r="556" ht="15.75" customHeight="1">
      <c r="E556" s="3"/>
      <c r="G556" s="3"/>
    </row>
    <row r="557" ht="15.75" customHeight="1">
      <c r="E557" s="3"/>
      <c r="G557" s="3"/>
    </row>
    <row r="558" ht="15.75" customHeight="1">
      <c r="E558" s="3"/>
      <c r="G558" s="3"/>
    </row>
    <row r="559" ht="15.75" customHeight="1">
      <c r="E559" s="3"/>
      <c r="G559" s="3"/>
    </row>
    <row r="560" ht="15.75" customHeight="1">
      <c r="E560" s="3"/>
      <c r="G560" s="3"/>
    </row>
    <row r="561" ht="15.75" customHeight="1">
      <c r="E561" s="3"/>
      <c r="G561" s="3"/>
    </row>
    <row r="562" ht="15.75" customHeight="1">
      <c r="E562" s="3"/>
      <c r="G562" s="3"/>
    </row>
    <row r="563" ht="15.75" customHeight="1">
      <c r="E563" s="3"/>
      <c r="G563" s="3"/>
    </row>
    <row r="564" ht="15.75" customHeight="1">
      <c r="E564" s="3"/>
      <c r="G564" s="3"/>
    </row>
    <row r="565" ht="15.75" customHeight="1">
      <c r="E565" s="3"/>
      <c r="G565" s="3"/>
    </row>
    <row r="566" ht="15.75" customHeight="1">
      <c r="E566" s="3"/>
      <c r="G566" s="3"/>
    </row>
    <row r="567" ht="15.75" customHeight="1">
      <c r="E567" s="3"/>
      <c r="G567" s="3"/>
    </row>
    <row r="568" ht="15.75" customHeight="1">
      <c r="E568" s="3"/>
      <c r="G568" s="3"/>
    </row>
    <row r="569" ht="15.75" customHeight="1">
      <c r="E569" s="3"/>
      <c r="G569" s="3"/>
    </row>
    <row r="570" ht="15.75" customHeight="1">
      <c r="E570" s="3"/>
      <c r="G570" s="3"/>
    </row>
    <row r="571" ht="15.75" customHeight="1">
      <c r="E571" s="3"/>
      <c r="G571" s="3"/>
    </row>
    <row r="572" ht="15.75" customHeight="1">
      <c r="E572" s="3"/>
      <c r="G572" s="3"/>
    </row>
    <row r="573" ht="15.75" customHeight="1">
      <c r="E573" s="3"/>
      <c r="G573" s="3"/>
    </row>
    <row r="574" ht="15.75" customHeight="1">
      <c r="E574" s="3"/>
      <c r="G574" s="3"/>
    </row>
    <row r="575" ht="15.75" customHeight="1">
      <c r="E575" s="3"/>
      <c r="G575" s="3"/>
    </row>
    <row r="576" ht="15.75" customHeight="1">
      <c r="E576" s="3"/>
      <c r="G576" s="3"/>
    </row>
    <row r="577" ht="15.75" customHeight="1">
      <c r="E577" s="3"/>
      <c r="G577" s="3"/>
    </row>
    <row r="578" ht="15.75" customHeight="1">
      <c r="E578" s="3"/>
      <c r="G578" s="3"/>
    </row>
    <row r="579" ht="15.75" customHeight="1">
      <c r="E579" s="3"/>
      <c r="G579" s="3"/>
    </row>
    <row r="580" ht="15.75" customHeight="1">
      <c r="E580" s="3"/>
      <c r="G580" s="3"/>
    </row>
    <row r="581" ht="15.75" customHeight="1">
      <c r="E581" s="3"/>
      <c r="G581" s="3"/>
    </row>
    <row r="582" ht="15.75" customHeight="1">
      <c r="E582" s="3"/>
      <c r="G582" s="3"/>
    </row>
    <row r="583" ht="15.75" customHeight="1">
      <c r="E583" s="3"/>
      <c r="G583" s="3"/>
    </row>
    <row r="584" ht="15.75" customHeight="1">
      <c r="E584" s="3"/>
      <c r="G584" s="3"/>
    </row>
    <row r="585" ht="15.75" customHeight="1">
      <c r="E585" s="3"/>
      <c r="G585" s="3"/>
    </row>
    <row r="586" ht="15.75" customHeight="1">
      <c r="E586" s="3"/>
      <c r="G586" s="3"/>
    </row>
    <row r="587" ht="15.75" customHeight="1">
      <c r="E587" s="3"/>
      <c r="G587" s="3"/>
    </row>
    <row r="588" ht="15.75" customHeight="1">
      <c r="E588" s="3"/>
      <c r="G588" s="3"/>
    </row>
    <row r="589" ht="15.75" customHeight="1">
      <c r="E589" s="3"/>
      <c r="G589" s="3"/>
    </row>
    <row r="590" ht="15.75" customHeight="1">
      <c r="E590" s="3"/>
      <c r="G590" s="3"/>
    </row>
    <row r="591" ht="15.75" customHeight="1">
      <c r="E591" s="3"/>
      <c r="G591" s="3"/>
    </row>
    <row r="592" ht="15.75" customHeight="1">
      <c r="E592" s="3"/>
      <c r="G592" s="3"/>
    </row>
    <row r="593" ht="15.75" customHeight="1">
      <c r="E593" s="3"/>
      <c r="G593" s="3"/>
    </row>
    <row r="594" ht="15.75" customHeight="1">
      <c r="E594" s="3"/>
      <c r="G594" s="3"/>
    </row>
    <row r="595" ht="15.75" customHeight="1">
      <c r="E595" s="3"/>
      <c r="G595" s="3"/>
    </row>
    <row r="596" ht="15.75" customHeight="1">
      <c r="E596" s="3"/>
      <c r="G596" s="3"/>
    </row>
    <row r="597" ht="15.75" customHeight="1">
      <c r="E597" s="3"/>
      <c r="G597" s="3"/>
    </row>
    <row r="598" ht="15.75" customHeight="1">
      <c r="E598" s="3"/>
      <c r="G598" s="3"/>
    </row>
    <row r="599" ht="15.75" customHeight="1">
      <c r="E599" s="3"/>
      <c r="G599" s="3"/>
    </row>
    <row r="600" ht="15.75" customHeight="1">
      <c r="E600" s="3"/>
      <c r="G600" s="3"/>
    </row>
    <row r="601" ht="15.75" customHeight="1">
      <c r="E601" s="3"/>
      <c r="G601" s="3"/>
    </row>
    <row r="602" ht="15.75" customHeight="1">
      <c r="E602" s="3"/>
      <c r="G602" s="3"/>
    </row>
    <row r="603" ht="15.75" customHeight="1">
      <c r="E603" s="3"/>
      <c r="G603" s="3"/>
    </row>
    <row r="604" ht="15.75" customHeight="1">
      <c r="E604" s="3"/>
      <c r="G604" s="3"/>
    </row>
    <row r="605" ht="15.75" customHeight="1">
      <c r="E605" s="3"/>
      <c r="G605" s="3"/>
    </row>
    <row r="606" ht="15.75" customHeight="1">
      <c r="E606" s="3"/>
      <c r="G606" s="3"/>
    </row>
    <row r="607" ht="15.75" customHeight="1">
      <c r="E607" s="3"/>
      <c r="G607" s="3"/>
    </row>
    <row r="608" ht="15.75" customHeight="1">
      <c r="E608" s="3"/>
      <c r="G608" s="3"/>
    </row>
    <row r="609" ht="15.75" customHeight="1">
      <c r="E609" s="3"/>
      <c r="G609" s="3"/>
    </row>
    <row r="610" ht="15.75" customHeight="1">
      <c r="E610" s="3"/>
      <c r="G610" s="3"/>
    </row>
    <row r="611" ht="15.75" customHeight="1">
      <c r="E611" s="3"/>
      <c r="G611" s="3"/>
    </row>
    <row r="612" ht="15.75" customHeight="1">
      <c r="E612" s="3"/>
      <c r="G612" s="3"/>
    </row>
    <row r="613" ht="15.75" customHeight="1">
      <c r="E613" s="3"/>
      <c r="G613" s="3"/>
    </row>
    <row r="614" ht="15.75" customHeight="1">
      <c r="E614" s="3"/>
      <c r="G614" s="3"/>
    </row>
    <row r="615" ht="15.75" customHeight="1">
      <c r="E615" s="3"/>
      <c r="G615" s="3"/>
    </row>
    <row r="616" ht="15.75" customHeight="1">
      <c r="E616" s="3"/>
      <c r="G616" s="3"/>
    </row>
    <row r="617" ht="15.75" customHeight="1">
      <c r="E617" s="3"/>
      <c r="G617" s="3"/>
    </row>
    <row r="618" ht="15.75" customHeight="1">
      <c r="E618" s="3"/>
      <c r="G618" s="3"/>
    </row>
    <row r="619" ht="15.75" customHeight="1">
      <c r="E619" s="3"/>
      <c r="G619" s="3"/>
    </row>
    <row r="620" ht="15.75" customHeight="1">
      <c r="E620" s="3"/>
      <c r="G620" s="3"/>
    </row>
    <row r="621" ht="15.75" customHeight="1">
      <c r="E621" s="3"/>
      <c r="G621" s="3"/>
    </row>
    <row r="622" ht="15.75" customHeight="1">
      <c r="E622" s="3"/>
      <c r="G622" s="3"/>
    </row>
    <row r="623" ht="15.75" customHeight="1">
      <c r="E623" s="3"/>
      <c r="G623" s="3"/>
    </row>
    <row r="624" ht="15.75" customHeight="1">
      <c r="E624" s="3"/>
      <c r="G624" s="3"/>
    </row>
    <row r="625" ht="15.75" customHeight="1">
      <c r="E625" s="3"/>
      <c r="G625" s="3"/>
    </row>
    <row r="626" ht="15.75" customHeight="1">
      <c r="E626" s="3"/>
      <c r="G626" s="3"/>
    </row>
    <row r="627" ht="15.75" customHeight="1">
      <c r="E627" s="3"/>
      <c r="G627" s="3"/>
    </row>
    <row r="628" ht="15.75" customHeight="1">
      <c r="E628" s="3"/>
      <c r="G628" s="3"/>
    </row>
    <row r="629" ht="15.75" customHeight="1">
      <c r="E629" s="3"/>
      <c r="G629" s="3"/>
    </row>
    <row r="630" ht="15.75" customHeight="1">
      <c r="E630" s="3"/>
      <c r="G630" s="3"/>
    </row>
    <row r="631" ht="15.75" customHeight="1">
      <c r="E631" s="3"/>
      <c r="G631" s="3"/>
    </row>
    <row r="632" ht="15.75" customHeight="1">
      <c r="E632" s="3"/>
      <c r="G632" s="3"/>
    </row>
    <row r="633" ht="15.75" customHeight="1">
      <c r="E633" s="3"/>
      <c r="G633" s="3"/>
    </row>
    <row r="634" ht="15.75" customHeight="1">
      <c r="E634" s="3"/>
      <c r="G634" s="3"/>
    </row>
    <row r="635" ht="15.75" customHeight="1">
      <c r="E635" s="3"/>
      <c r="G635" s="3"/>
    </row>
    <row r="636" ht="15.75" customHeight="1">
      <c r="E636" s="3"/>
      <c r="G636" s="3"/>
    </row>
    <row r="637" ht="15.75" customHeight="1">
      <c r="E637" s="3"/>
      <c r="G637" s="3"/>
    </row>
    <row r="638" ht="15.75" customHeight="1">
      <c r="E638" s="3"/>
      <c r="G638" s="3"/>
    </row>
    <row r="639" ht="15.75" customHeight="1">
      <c r="E639" s="3"/>
      <c r="G639" s="3"/>
    </row>
    <row r="640" ht="15.75" customHeight="1">
      <c r="E640" s="3"/>
      <c r="G640" s="3"/>
    </row>
    <row r="641" ht="15.75" customHeight="1">
      <c r="E641" s="3"/>
      <c r="G641" s="3"/>
    </row>
    <row r="642" ht="15.75" customHeight="1">
      <c r="E642" s="3"/>
      <c r="G642" s="3"/>
    </row>
    <row r="643" ht="15.75" customHeight="1">
      <c r="E643" s="3"/>
      <c r="G643" s="3"/>
    </row>
    <row r="644" ht="15.75" customHeight="1">
      <c r="E644" s="3"/>
      <c r="G644" s="3"/>
    </row>
    <row r="645" ht="15.75" customHeight="1">
      <c r="E645" s="3"/>
      <c r="G645" s="3"/>
    </row>
    <row r="646" ht="15.75" customHeight="1">
      <c r="E646" s="3"/>
      <c r="G646" s="3"/>
    </row>
    <row r="647" ht="15.75" customHeight="1">
      <c r="E647" s="3"/>
      <c r="G647" s="3"/>
    </row>
    <row r="648" ht="15.75" customHeight="1">
      <c r="E648" s="3"/>
      <c r="G648" s="3"/>
    </row>
    <row r="649" ht="15.75" customHeight="1">
      <c r="E649" s="3"/>
      <c r="G649" s="3"/>
    </row>
    <row r="650" ht="15.75" customHeight="1">
      <c r="E650" s="3"/>
      <c r="G650" s="3"/>
    </row>
    <row r="651" ht="15.75" customHeight="1">
      <c r="E651" s="3"/>
      <c r="G651" s="3"/>
    </row>
    <row r="652" ht="15.75" customHeight="1">
      <c r="E652" s="3"/>
      <c r="G652" s="3"/>
    </row>
    <row r="653" ht="15.75" customHeight="1">
      <c r="E653" s="3"/>
      <c r="G653" s="3"/>
    </row>
    <row r="654" ht="15.75" customHeight="1">
      <c r="E654" s="3"/>
      <c r="G654" s="3"/>
    </row>
    <row r="655" ht="15.75" customHeight="1">
      <c r="E655" s="3"/>
      <c r="G655" s="3"/>
    </row>
    <row r="656" ht="15.75" customHeight="1">
      <c r="E656" s="3"/>
      <c r="G656" s="3"/>
    </row>
    <row r="657" ht="15.75" customHeight="1">
      <c r="E657" s="3"/>
      <c r="G657" s="3"/>
    </row>
    <row r="658" ht="15.75" customHeight="1">
      <c r="E658" s="3"/>
      <c r="G658" s="3"/>
    </row>
    <row r="659" ht="15.75" customHeight="1">
      <c r="E659" s="3"/>
      <c r="G659" s="3"/>
    </row>
    <row r="660" ht="15.75" customHeight="1">
      <c r="E660" s="3"/>
      <c r="G660" s="3"/>
    </row>
    <row r="661" ht="15.75" customHeight="1">
      <c r="E661" s="3"/>
      <c r="G661" s="3"/>
    </row>
    <row r="662" ht="15.75" customHeight="1">
      <c r="E662" s="3"/>
      <c r="G662" s="3"/>
    </row>
    <row r="663" ht="15.75" customHeight="1">
      <c r="E663" s="3"/>
      <c r="G663" s="3"/>
    </row>
    <row r="664" ht="15.75" customHeight="1">
      <c r="E664" s="3"/>
      <c r="G664" s="3"/>
    </row>
    <row r="665" ht="15.75" customHeight="1">
      <c r="E665" s="3"/>
      <c r="G665" s="3"/>
    </row>
    <row r="666" ht="15.75" customHeight="1">
      <c r="E666" s="3"/>
      <c r="G666" s="3"/>
    </row>
    <row r="667" ht="15.75" customHeight="1">
      <c r="E667" s="3"/>
      <c r="G667" s="3"/>
    </row>
    <row r="668" ht="15.75" customHeight="1">
      <c r="E668" s="3"/>
      <c r="G668" s="3"/>
    </row>
    <row r="669" ht="15.75" customHeight="1">
      <c r="E669" s="3"/>
      <c r="G669" s="3"/>
    </row>
    <row r="670" ht="15.75" customHeight="1">
      <c r="E670" s="3"/>
      <c r="G670" s="3"/>
    </row>
    <row r="671" ht="15.75" customHeight="1">
      <c r="E671" s="3"/>
      <c r="G671" s="3"/>
    </row>
    <row r="672" ht="15.75" customHeight="1">
      <c r="E672" s="3"/>
      <c r="G672" s="3"/>
    </row>
    <row r="673" ht="15.75" customHeight="1">
      <c r="E673" s="3"/>
      <c r="G673" s="3"/>
    </row>
    <row r="674" ht="15.75" customHeight="1">
      <c r="E674" s="3"/>
      <c r="G674" s="3"/>
    </row>
    <row r="675" ht="15.75" customHeight="1">
      <c r="E675" s="3"/>
      <c r="G675" s="3"/>
    </row>
    <row r="676" ht="15.75" customHeight="1">
      <c r="E676" s="3"/>
      <c r="G676" s="3"/>
    </row>
    <row r="677" ht="15.75" customHeight="1">
      <c r="E677" s="3"/>
      <c r="G677" s="3"/>
    </row>
    <row r="678" ht="15.75" customHeight="1">
      <c r="E678" s="3"/>
      <c r="G678" s="3"/>
    </row>
    <row r="679" ht="15.75" customHeight="1">
      <c r="E679" s="3"/>
      <c r="G679" s="3"/>
    </row>
    <row r="680" ht="15.75" customHeight="1">
      <c r="E680" s="3"/>
      <c r="G680" s="3"/>
    </row>
    <row r="681" ht="15.75" customHeight="1">
      <c r="E681" s="3"/>
      <c r="G681" s="3"/>
    </row>
    <row r="682" ht="15.75" customHeight="1">
      <c r="E682" s="3"/>
      <c r="G682" s="3"/>
    </row>
    <row r="683" ht="15.75" customHeight="1">
      <c r="E683" s="3"/>
      <c r="G683" s="3"/>
    </row>
    <row r="684" ht="15.75" customHeight="1">
      <c r="E684" s="3"/>
      <c r="G684" s="3"/>
    </row>
    <row r="685" ht="15.75" customHeight="1">
      <c r="E685" s="3"/>
      <c r="G685" s="3"/>
    </row>
    <row r="686" ht="15.75" customHeight="1">
      <c r="E686" s="3"/>
      <c r="G686" s="3"/>
    </row>
    <row r="687" ht="15.75" customHeight="1">
      <c r="E687" s="3"/>
      <c r="G687" s="3"/>
    </row>
    <row r="688" ht="15.75" customHeight="1">
      <c r="E688" s="3"/>
      <c r="G688" s="3"/>
    </row>
    <row r="689" ht="15.75" customHeight="1">
      <c r="E689" s="3"/>
      <c r="G689" s="3"/>
    </row>
    <row r="690" ht="15.75" customHeight="1">
      <c r="E690" s="3"/>
      <c r="G690" s="3"/>
    </row>
    <row r="691" ht="15.75" customHeight="1">
      <c r="E691" s="3"/>
      <c r="G691" s="3"/>
    </row>
    <row r="692" ht="15.75" customHeight="1">
      <c r="E692" s="3"/>
      <c r="G692" s="3"/>
    </row>
    <row r="693" ht="15.75" customHeight="1">
      <c r="E693" s="3"/>
      <c r="G693" s="3"/>
    </row>
    <row r="694" ht="15.75" customHeight="1">
      <c r="E694" s="3"/>
      <c r="G694" s="3"/>
    </row>
    <row r="695" ht="15.75" customHeight="1">
      <c r="E695" s="3"/>
      <c r="G695" s="3"/>
    </row>
    <row r="696" ht="15.75" customHeight="1">
      <c r="E696" s="3"/>
      <c r="G696" s="3"/>
    </row>
    <row r="697" ht="15.75" customHeight="1">
      <c r="E697" s="3"/>
      <c r="G697" s="3"/>
    </row>
    <row r="698" ht="15.75" customHeight="1">
      <c r="E698" s="3"/>
      <c r="G698" s="3"/>
    </row>
    <row r="699" ht="15.75" customHeight="1">
      <c r="E699" s="3"/>
      <c r="G699" s="3"/>
    </row>
    <row r="700" ht="15.75" customHeight="1">
      <c r="E700" s="3"/>
      <c r="G700" s="3"/>
    </row>
    <row r="701" ht="15.75" customHeight="1">
      <c r="E701" s="3"/>
      <c r="G701" s="3"/>
    </row>
    <row r="702" ht="15.75" customHeight="1">
      <c r="E702" s="3"/>
      <c r="G702" s="3"/>
    </row>
    <row r="703" ht="15.75" customHeight="1">
      <c r="E703" s="3"/>
      <c r="G703" s="3"/>
    </row>
    <row r="704" ht="15.75" customHeight="1">
      <c r="E704" s="3"/>
      <c r="G704" s="3"/>
    </row>
    <row r="705" ht="15.75" customHeight="1">
      <c r="E705" s="3"/>
      <c r="G705" s="3"/>
    </row>
    <row r="706" ht="15.75" customHeight="1">
      <c r="E706" s="3"/>
      <c r="G706" s="3"/>
    </row>
    <row r="707" ht="15.75" customHeight="1">
      <c r="E707" s="3"/>
      <c r="G707" s="3"/>
    </row>
    <row r="708" ht="15.75" customHeight="1">
      <c r="E708" s="3"/>
      <c r="G708" s="3"/>
    </row>
    <row r="709" ht="15.75" customHeight="1">
      <c r="E709" s="3"/>
      <c r="G709" s="3"/>
    </row>
    <row r="710" ht="15.75" customHeight="1">
      <c r="E710" s="3"/>
      <c r="G710" s="3"/>
    </row>
    <row r="711" ht="15.75" customHeight="1">
      <c r="E711" s="3"/>
      <c r="G711" s="3"/>
    </row>
    <row r="712" ht="15.75" customHeight="1">
      <c r="E712" s="3"/>
      <c r="G712" s="3"/>
    </row>
    <row r="713" ht="15.75" customHeight="1">
      <c r="E713" s="3"/>
      <c r="G713" s="3"/>
    </row>
    <row r="714" ht="15.75" customHeight="1">
      <c r="E714" s="3"/>
      <c r="G714" s="3"/>
    </row>
    <row r="715" ht="15.75" customHeight="1">
      <c r="E715" s="3"/>
      <c r="G715" s="3"/>
    </row>
    <row r="716" ht="15.75" customHeight="1">
      <c r="E716" s="3"/>
      <c r="G716" s="3"/>
    </row>
    <row r="717" ht="15.75" customHeight="1">
      <c r="E717" s="3"/>
      <c r="G717" s="3"/>
    </row>
    <row r="718" ht="15.75" customHeight="1">
      <c r="E718" s="3"/>
      <c r="G718" s="3"/>
    </row>
    <row r="719" ht="15.75" customHeight="1">
      <c r="E719" s="3"/>
      <c r="G719" s="3"/>
    </row>
    <row r="720" ht="15.75" customHeight="1">
      <c r="E720" s="3"/>
      <c r="G720" s="3"/>
    </row>
    <row r="721" ht="15.75" customHeight="1">
      <c r="E721" s="3"/>
      <c r="G721" s="3"/>
    </row>
    <row r="722" ht="15.75" customHeight="1">
      <c r="E722" s="3"/>
      <c r="G722" s="3"/>
    </row>
    <row r="723" ht="15.75" customHeight="1">
      <c r="E723" s="3"/>
      <c r="G723" s="3"/>
    </row>
    <row r="724" ht="15.75" customHeight="1">
      <c r="E724" s="3"/>
      <c r="G724" s="3"/>
    </row>
    <row r="725" ht="15.75" customHeight="1">
      <c r="E725" s="3"/>
      <c r="G725" s="3"/>
    </row>
    <row r="726" ht="15.75" customHeight="1">
      <c r="E726" s="3"/>
      <c r="G726" s="3"/>
    </row>
    <row r="727" ht="15.75" customHeight="1">
      <c r="E727" s="3"/>
      <c r="G727" s="3"/>
    </row>
    <row r="728" ht="15.75" customHeight="1">
      <c r="E728" s="3"/>
      <c r="G728" s="3"/>
    </row>
    <row r="729" ht="15.75" customHeight="1">
      <c r="E729" s="3"/>
      <c r="G729" s="3"/>
    </row>
    <row r="730" ht="15.75" customHeight="1">
      <c r="E730" s="3"/>
      <c r="G730" s="3"/>
    </row>
    <row r="731" ht="15.75" customHeight="1">
      <c r="E731" s="3"/>
      <c r="G731" s="3"/>
    </row>
    <row r="732" ht="15.75" customHeight="1">
      <c r="E732" s="3"/>
      <c r="G732" s="3"/>
    </row>
    <row r="733" ht="15.75" customHeight="1">
      <c r="E733" s="3"/>
      <c r="G733" s="3"/>
    </row>
    <row r="734" ht="15.75" customHeight="1">
      <c r="E734" s="3"/>
      <c r="G734" s="3"/>
    </row>
    <row r="735" ht="15.75" customHeight="1">
      <c r="E735" s="3"/>
      <c r="G735" s="3"/>
    </row>
    <row r="736" ht="15.75" customHeight="1">
      <c r="E736" s="3"/>
      <c r="G736" s="3"/>
    </row>
    <row r="737" ht="15.75" customHeight="1">
      <c r="E737" s="3"/>
      <c r="G737" s="3"/>
    </row>
    <row r="738" ht="15.75" customHeight="1">
      <c r="E738" s="3"/>
      <c r="G738" s="3"/>
    </row>
    <row r="739" ht="15.75" customHeight="1">
      <c r="E739" s="3"/>
      <c r="G739" s="3"/>
    </row>
    <row r="740" ht="15.75" customHeight="1">
      <c r="E740" s="3"/>
      <c r="G740" s="3"/>
    </row>
    <row r="741" ht="15.75" customHeight="1">
      <c r="E741" s="3"/>
      <c r="G741" s="3"/>
    </row>
    <row r="742" ht="15.75" customHeight="1">
      <c r="E742" s="3"/>
      <c r="G742" s="3"/>
    </row>
    <row r="743" ht="15.75" customHeight="1">
      <c r="E743" s="3"/>
      <c r="G743" s="3"/>
    </row>
    <row r="744" ht="15.75" customHeight="1">
      <c r="E744" s="3"/>
      <c r="G744" s="3"/>
    </row>
    <row r="745" ht="15.75" customHeight="1">
      <c r="E745" s="3"/>
      <c r="G745" s="3"/>
    </row>
    <row r="746" ht="15.75" customHeight="1">
      <c r="E746" s="3"/>
      <c r="G746" s="3"/>
    </row>
    <row r="747" ht="15.75" customHeight="1">
      <c r="E747" s="3"/>
      <c r="G747" s="3"/>
    </row>
    <row r="748" ht="15.75" customHeight="1">
      <c r="E748" s="3"/>
      <c r="G748" s="3"/>
    </row>
    <row r="749" ht="15.75" customHeight="1">
      <c r="E749" s="3"/>
      <c r="G749" s="3"/>
    </row>
    <row r="750" ht="15.75" customHeight="1">
      <c r="E750" s="3"/>
      <c r="G750" s="3"/>
    </row>
    <row r="751" ht="15.75" customHeight="1">
      <c r="E751" s="3"/>
      <c r="G751" s="3"/>
    </row>
    <row r="752" ht="15.75" customHeight="1">
      <c r="E752" s="3"/>
      <c r="G752" s="3"/>
    </row>
    <row r="753" ht="15.75" customHeight="1">
      <c r="E753" s="3"/>
      <c r="G753" s="3"/>
    </row>
    <row r="754" ht="15.75" customHeight="1">
      <c r="E754" s="3"/>
      <c r="G754" s="3"/>
    </row>
    <row r="755" ht="15.75" customHeight="1">
      <c r="E755" s="3"/>
      <c r="G755" s="3"/>
    </row>
    <row r="756" ht="15.75" customHeight="1">
      <c r="E756" s="3"/>
      <c r="G756" s="3"/>
    </row>
    <row r="757" ht="15.75" customHeight="1">
      <c r="E757" s="3"/>
      <c r="G757" s="3"/>
    </row>
    <row r="758" ht="15.75" customHeight="1">
      <c r="E758" s="3"/>
      <c r="G758" s="3"/>
    </row>
    <row r="759" ht="15.75" customHeight="1">
      <c r="E759" s="3"/>
      <c r="G759" s="3"/>
    </row>
    <row r="760" ht="15.75" customHeight="1">
      <c r="E760" s="3"/>
      <c r="G760" s="3"/>
    </row>
    <row r="761" ht="15.75" customHeight="1">
      <c r="E761" s="3"/>
      <c r="G761" s="3"/>
    </row>
    <row r="762" ht="15.75" customHeight="1">
      <c r="E762" s="3"/>
      <c r="G762" s="3"/>
    </row>
    <row r="763" ht="15.75" customHeight="1">
      <c r="E763" s="3"/>
      <c r="G763" s="3"/>
    </row>
    <row r="764" ht="15.75" customHeight="1">
      <c r="E764" s="3"/>
      <c r="G764" s="3"/>
    </row>
    <row r="765" ht="15.75" customHeight="1">
      <c r="E765" s="3"/>
      <c r="G765" s="3"/>
    </row>
    <row r="766" ht="15.75" customHeight="1">
      <c r="E766" s="3"/>
      <c r="G766" s="3"/>
    </row>
    <row r="767" ht="15.75" customHeight="1">
      <c r="E767" s="3"/>
      <c r="G767" s="3"/>
    </row>
    <row r="768" ht="15.75" customHeight="1">
      <c r="E768" s="3"/>
      <c r="G768" s="3"/>
    </row>
    <row r="769" ht="15.75" customHeight="1">
      <c r="E769" s="3"/>
      <c r="G769" s="3"/>
    </row>
    <row r="770" ht="15.75" customHeight="1">
      <c r="E770" s="3"/>
      <c r="G770" s="3"/>
    </row>
    <row r="771" ht="15.75" customHeight="1">
      <c r="E771" s="3"/>
      <c r="G771" s="3"/>
    </row>
    <row r="772" ht="15.75" customHeight="1">
      <c r="E772" s="3"/>
      <c r="G772" s="3"/>
    </row>
    <row r="773" ht="15.75" customHeight="1">
      <c r="E773" s="3"/>
      <c r="G773" s="3"/>
    </row>
    <row r="774" ht="15.75" customHeight="1">
      <c r="E774" s="3"/>
      <c r="G774" s="3"/>
    </row>
    <row r="775" ht="15.75" customHeight="1">
      <c r="E775" s="3"/>
      <c r="G775" s="3"/>
    </row>
    <row r="776" ht="15.75" customHeight="1">
      <c r="E776" s="3"/>
      <c r="G776" s="3"/>
    </row>
    <row r="777" ht="15.75" customHeight="1">
      <c r="E777" s="3"/>
      <c r="G777" s="3"/>
    </row>
    <row r="778" ht="15.75" customHeight="1">
      <c r="E778" s="3"/>
      <c r="G778" s="3"/>
    </row>
    <row r="779" ht="15.75" customHeight="1">
      <c r="E779" s="3"/>
      <c r="G779" s="3"/>
    </row>
    <row r="780" ht="15.75" customHeight="1">
      <c r="E780" s="3"/>
      <c r="G780" s="3"/>
    </row>
    <row r="781" ht="15.75" customHeight="1">
      <c r="E781" s="3"/>
      <c r="G781" s="3"/>
    </row>
    <row r="782" ht="15.75" customHeight="1">
      <c r="E782" s="3"/>
      <c r="G782" s="3"/>
    </row>
    <row r="783" ht="15.75" customHeight="1">
      <c r="E783" s="3"/>
      <c r="G783" s="3"/>
    </row>
    <row r="784" ht="15.75" customHeight="1">
      <c r="E784" s="3"/>
      <c r="G784" s="3"/>
    </row>
    <row r="785" ht="15.75" customHeight="1">
      <c r="E785" s="3"/>
      <c r="G785" s="3"/>
    </row>
    <row r="786" ht="15.75" customHeight="1">
      <c r="E786" s="3"/>
      <c r="G786" s="3"/>
    </row>
    <row r="787" ht="15.75" customHeight="1">
      <c r="E787" s="3"/>
      <c r="G787" s="3"/>
    </row>
    <row r="788" ht="15.75" customHeight="1">
      <c r="E788" s="3"/>
      <c r="G788" s="3"/>
    </row>
    <row r="789" ht="15.75" customHeight="1">
      <c r="E789" s="3"/>
      <c r="G789" s="3"/>
    </row>
    <row r="790" ht="15.75" customHeight="1">
      <c r="E790" s="3"/>
      <c r="G790" s="3"/>
    </row>
    <row r="791" ht="15.75" customHeight="1">
      <c r="E791" s="3"/>
      <c r="G791" s="3"/>
    </row>
    <row r="792" ht="15.75" customHeight="1">
      <c r="E792" s="3"/>
      <c r="G792" s="3"/>
    </row>
    <row r="793" ht="15.75" customHeight="1">
      <c r="E793" s="3"/>
      <c r="G793" s="3"/>
    </row>
    <row r="794" ht="15.75" customHeight="1">
      <c r="E794" s="3"/>
      <c r="G794" s="3"/>
    </row>
    <row r="795" ht="15.75" customHeight="1">
      <c r="E795" s="3"/>
      <c r="G795" s="3"/>
    </row>
    <row r="796" ht="15.75" customHeight="1">
      <c r="E796" s="3"/>
      <c r="G796" s="3"/>
    </row>
    <row r="797" ht="15.75" customHeight="1">
      <c r="E797" s="3"/>
      <c r="G797" s="3"/>
    </row>
    <row r="798" ht="15.75" customHeight="1">
      <c r="E798" s="3"/>
      <c r="G798" s="3"/>
    </row>
    <row r="799" ht="15.75" customHeight="1">
      <c r="E799" s="3"/>
      <c r="G799" s="3"/>
    </row>
    <row r="800" ht="15.75" customHeight="1">
      <c r="E800" s="3"/>
      <c r="G800" s="3"/>
    </row>
    <row r="801" ht="15.75" customHeight="1">
      <c r="E801" s="3"/>
      <c r="G801" s="3"/>
    </row>
    <row r="802" ht="15.75" customHeight="1">
      <c r="E802" s="3"/>
      <c r="G802" s="3"/>
    </row>
    <row r="803" ht="15.75" customHeight="1">
      <c r="E803" s="3"/>
      <c r="G803" s="3"/>
    </row>
    <row r="804" ht="15.75" customHeight="1">
      <c r="E804" s="3"/>
      <c r="G804" s="3"/>
    </row>
    <row r="805" ht="15.75" customHeight="1">
      <c r="E805" s="3"/>
      <c r="G805" s="3"/>
    </row>
    <row r="806" ht="15.75" customHeight="1">
      <c r="E806" s="3"/>
      <c r="G806" s="3"/>
    </row>
    <row r="807" ht="15.75" customHeight="1">
      <c r="E807" s="3"/>
      <c r="G807" s="3"/>
    </row>
    <row r="808" ht="15.75" customHeight="1">
      <c r="E808" s="3"/>
      <c r="G808" s="3"/>
    </row>
    <row r="809" ht="15.75" customHeight="1">
      <c r="E809" s="3"/>
      <c r="G809" s="3"/>
    </row>
    <row r="810" ht="15.75" customHeight="1">
      <c r="E810" s="3"/>
      <c r="G810" s="3"/>
    </row>
    <row r="811" ht="15.75" customHeight="1">
      <c r="E811" s="3"/>
      <c r="G811" s="3"/>
    </row>
    <row r="812" ht="15.75" customHeight="1">
      <c r="E812" s="3"/>
      <c r="G812" s="3"/>
    </row>
    <row r="813" ht="15.75" customHeight="1">
      <c r="E813" s="3"/>
      <c r="G813" s="3"/>
    </row>
    <row r="814" ht="15.75" customHeight="1">
      <c r="E814" s="3"/>
      <c r="G814" s="3"/>
    </row>
    <row r="815" ht="15.75" customHeight="1">
      <c r="E815" s="3"/>
      <c r="G815" s="3"/>
    </row>
    <row r="816" ht="15.75" customHeight="1">
      <c r="E816" s="3"/>
      <c r="G816" s="3"/>
    </row>
    <row r="817" ht="15.75" customHeight="1">
      <c r="E817" s="3"/>
      <c r="G817" s="3"/>
    </row>
    <row r="818" ht="15.75" customHeight="1">
      <c r="E818" s="3"/>
      <c r="G818" s="3"/>
    </row>
    <row r="819" ht="15.75" customHeight="1">
      <c r="E819" s="3"/>
      <c r="G819" s="3"/>
    </row>
    <row r="820" ht="15.75" customHeight="1">
      <c r="E820" s="3"/>
      <c r="G820" s="3"/>
    </row>
    <row r="821" ht="15.75" customHeight="1">
      <c r="E821" s="3"/>
      <c r="G821" s="3"/>
    </row>
    <row r="822" ht="15.75" customHeight="1">
      <c r="E822" s="3"/>
      <c r="G822" s="3"/>
    </row>
    <row r="823" ht="15.75" customHeight="1">
      <c r="E823" s="3"/>
      <c r="G823" s="3"/>
    </row>
    <row r="824" ht="15.75" customHeight="1">
      <c r="E824" s="3"/>
      <c r="G824" s="3"/>
    </row>
    <row r="825" ht="15.75" customHeight="1">
      <c r="E825" s="3"/>
      <c r="G825" s="3"/>
    </row>
    <row r="826" ht="15.75" customHeight="1">
      <c r="E826" s="3"/>
      <c r="G826" s="3"/>
    </row>
    <row r="827" ht="15.75" customHeight="1">
      <c r="E827" s="3"/>
      <c r="G827" s="3"/>
    </row>
    <row r="828" ht="15.75" customHeight="1">
      <c r="E828" s="3"/>
      <c r="G828" s="3"/>
    </row>
    <row r="829" ht="15.75" customHeight="1">
      <c r="E829" s="3"/>
      <c r="G829" s="3"/>
    </row>
    <row r="830" ht="15.75" customHeight="1">
      <c r="E830" s="3"/>
      <c r="G830" s="3"/>
    </row>
    <row r="831" ht="15.75" customHeight="1">
      <c r="E831" s="3"/>
      <c r="G831" s="3"/>
    </row>
    <row r="832" ht="15.75" customHeight="1">
      <c r="E832" s="3"/>
      <c r="G832" s="3"/>
    </row>
    <row r="833" ht="15.75" customHeight="1">
      <c r="E833" s="3"/>
      <c r="G833" s="3"/>
    </row>
    <row r="834" ht="15.75" customHeight="1">
      <c r="E834" s="3"/>
      <c r="G834" s="3"/>
    </row>
    <row r="835" ht="15.75" customHeight="1">
      <c r="E835" s="3"/>
      <c r="G835" s="3"/>
    </row>
    <row r="836" ht="15.75" customHeight="1">
      <c r="E836" s="3"/>
      <c r="G836" s="3"/>
    </row>
    <row r="837" ht="15.75" customHeight="1">
      <c r="E837" s="3"/>
      <c r="G837" s="3"/>
    </row>
    <row r="838" ht="15.75" customHeight="1">
      <c r="E838" s="3"/>
      <c r="G838" s="3"/>
    </row>
    <row r="839" ht="15.75" customHeight="1">
      <c r="E839" s="3"/>
      <c r="G839" s="3"/>
    </row>
    <row r="840" ht="15.75" customHeight="1">
      <c r="E840" s="3"/>
      <c r="G840" s="3"/>
    </row>
    <row r="841" ht="15.75" customHeight="1">
      <c r="E841" s="3"/>
      <c r="G841" s="3"/>
    </row>
    <row r="842" ht="15.75" customHeight="1">
      <c r="E842" s="3"/>
      <c r="G842" s="3"/>
    </row>
    <row r="843" ht="15.75" customHeight="1">
      <c r="E843" s="3"/>
      <c r="G843" s="3"/>
    </row>
    <row r="844" ht="15.75" customHeight="1">
      <c r="E844" s="3"/>
      <c r="G844" s="3"/>
    </row>
    <row r="845" ht="15.75" customHeight="1">
      <c r="E845" s="3"/>
      <c r="G845" s="3"/>
    </row>
    <row r="846" ht="15.75" customHeight="1">
      <c r="E846" s="3"/>
      <c r="G846" s="3"/>
    </row>
    <row r="847" ht="15.75" customHeight="1">
      <c r="E847" s="3"/>
      <c r="G847" s="3"/>
    </row>
    <row r="848" ht="15.75" customHeight="1">
      <c r="E848" s="3"/>
      <c r="G848" s="3"/>
    </row>
    <row r="849" ht="15.75" customHeight="1">
      <c r="E849" s="3"/>
      <c r="G849" s="3"/>
    </row>
    <row r="850" ht="15.75" customHeight="1">
      <c r="E850" s="3"/>
      <c r="G850" s="3"/>
    </row>
    <row r="851" ht="15.75" customHeight="1">
      <c r="E851" s="3"/>
      <c r="G851" s="3"/>
    </row>
    <row r="852" ht="15.75" customHeight="1">
      <c r="E852" s="3"/>
      <c r="G852" s="3"/>
    </row>
    <row r="853" ht="15.75" customHeight="1">
      <c r="E853" s="3"/>
      <c r="G853" s="3"/>
    </row>
    <row r="854" ht="15.75" customHeight="1">
      <c r="E854" s="3"/>
      <c r="G854" s="3"/>
    </row>
    <row r="855" ht="15.75" customHeight="1">
      <c r="E855" s="3"/>
      <c r="G855" s="3"/>
    </row>
    <row r="856" ht="15.75" customHeight="1">
      <c r="E856" s="3"/>
      <c r="G856" s="3"/>
    </row>
    <row r="857" ht="15.75" customHeight="1">
      <c r="E857" s="3"/>
      <c r="G857" s="3"/>
    </row>
    <row r="858" ht="15.75" customHeight="1">
      <c r="E858" s="3"/>
      <c r="G858" s="3"/>
    </row>
    <row r="859" ht="15.75" customHeight="1">
      <c r="E859" s="3"/>
      <c r="G859" s="3"/>
    </row>
    <row r="860" ht="15.75" customHeight="1">
      <c r="E860" s="3"/>
      <c r="G860" s="3"/>
    </row>
    <row r="861" ht="15.75" customHeight="1">
      <c r="E861" s="3"/>
      <c r="G861" s="3"/>
    </row>
    <row r="862" ht="15.75" customHeight="1">
      <c r="E862" s="3"/>
      <c r="G862" s="3"/>
    </row>
    <row r="863" ht="15.75" customHeight="1">
      <c r="E863" s="3"/>
      <c r="G863" s="3"/>
    </row>
    <row r="864" ht="15.75" customHeight="1">
      <c r="E864" s="3"/>
      <c r="G864" s="3"/>
    </row>
    <row r="865" ht="15.75" customHeight="1">
      <c r="E865" s="3"/>
      <c r="G865" s="3"/>
    </row>
    <row r="866" ht="15.75" customHeight="1">
      <c r="E866" s="3"/>
      <c r="G866" s="3"/>
    </row>
    <row r="867" ht="15.75" customHeight="1">
      <c r="E867" s="3"/>
      <c r="G867" s="3"/>
    </row>
    <row r="868" ht="15.75" customHeight="1">
      <c r="E868" s="3"/>
      <c r="G868" s="3"/>
    </row>
    <row r="869" ht="15.75" customHeight="1">
      <c r="E869" s="3"/>
      <c r="G869" s="3"/>
    </row>
    <row r="870" ht="15.75" customHeight="1">
      <c r="E870" s="3"/>
      <c r="G870" s="3"/>
    </row>
    <row r="871" ht="15.75" customHeight="1">
      <c r="E871" s="3"/>
      <c r="G871" s="3"/>
    </row>
    <row r="872" ht="15.75" customHeight="1">
      <c r="E872" s="3"/>
      <c r="G872" s="3"/>
    </row>
    <row r="873" ht="15.75" customHeight="1">
      <c r="E873" s="3"/>
      <c r="G873" s="3"/>
    </row>
    <row r="874" ht="15.75" customHeight="1">
      <c r="E874" s="3"/>
      <c r="G874" s="3"/>
    </row>
    <row r="875" ht="15.75" customHeight="1">
      <c r="E875" s="3"/>
      <c r="G875" s="3"/>
    </row>
    <row r="876" ht="15.75" customHeight="1">
      <c r="E876" s="3"/>
      <c r="G876" s="3"/>
    </row>
    <row r="877" ht="15.75" customHeight="1">
      <c r="E877" s="3"/>
      <c r="G877" s="3"/>
    </row>
    <row r="878" ht="15.75" customHeight="1">
      <c r="E878" s="3"/>
      <c r="G878" s="3"/>
    </row>
    <row r="879" ht="15.75" customHeight="1">
      <c r="E879" s="3"/>
      <c r="G879" s="3"/>
    </row>
    <row r="880" ht="15.75" customHeight="1">
      <c r="E880" s="3"/>
      <c r="G880" s="3"/>
    </row>
    <row r="881" ht="15.75" customHeight="1">
      <c r="E881" s="3"/>
      <c r="G881" s="3"/>
    </row>
    <row r="882" ht="15.75" customHeight="1">
      <c r="E882" s="3"/>
      <c r="G882" s="3"/>
    </row>
    <row r="883" ht="15.75" customHeight="1">
      <c r="E883" s="3"/>
      <c r="G883" s="3"/>
    </row>
    <row r="884" ht="15.75" customHeight="1">
      <c r="E884" s="3"/>
      <c r="G884" s="3"/>
    </row>
    <row r="885" ht="15.75" customHeight="1">
      <c r="E885" s="3"/>
      <c r="G885" s="3"/>
    </row>
    <row r="886" ht="15.75" customHeight="1">
      <c r="E886" s="3"/>
      <c r="G886" s="3"/>
    </row>
    <row r="887" ht="15.75" customHeight="1">
      <c r="E887" s="3"/>
      <c r="G887" s="3"/>
    </row>
    <row r="888" ht="15.75" customHeight="1">
      <c r="E888" s="3"/>
      <c r="G888" s="3"/>
    </row>
    <row r="889" ht="15.75" customHeight="1">
      <c r="E889" s="3"/>
      <c r="G889" s="3"/>
    </row>
    <row r="890" ht="15.75" customHeight="1">
      <c r="E890" s="3"/>
      <c r="G890" s="3"/>
    </row>
    <row r="891" ht="15.75" customHeight="1">
      <c r="E891" s="3"/>
      <c r="G891" s="3"/>
    </row>
    <row r="892" ht="15.75" customHeight="1">
      <c r="E892" s="3"/>
      <c r="G892" s="3"/>
    </row>
    <row r="893" ht="15.75" customHeight="1">
      <c r="E893" s="3"/>
      <c r="G893" s="3"/>
    </row>
    <row r="894" ht="15.75" customHeight="1">
      <c r="E894" s="3"/>
      <c r="G894" s="3"/>
    </row>
    <row r="895" ht="15.75" customHeight="1">
      <c r="E895" s="3"/>
      <c r="G895" s="3"/>
    </row>
    <row r="896" ht="15.75" customHeight="1">
      <c r="E896" s="3"/>
      <c r="G896" s="3"/>
    </row>
    <row r="897" ht="15.75" customHeight="1">
      <c r="E897" s="3"/>
      <c r="G897" s="3"/>
    </row>
    <row r="898" ht="15.75" customHeight="1">
      <c r="E898" s="3"/>
      <c r="G898" s="3"/>
    </row>
    <row r="899" ht="15.75" customHeight="1">
      <c r="E899" s="3"/>
      <c r="G899" s="3"/>
    </row>
    <row r="900" ht="15.75" customHeight="1">
      <c r="E900" s="3"/>
      <c r="G900" s="3"/>
    </row>
    <row r="901" ht="15.75" customHeight="1">
      <c r="E901" s="3"/>
      <c r="G901" s="3"/>
    </row>
    <row r="902" ht="15.75" customHeight="1">
      <c r="E902" s="3"/>
      <c r="G902" s="3"/>
    </row>
    <row r="903" ht="15.75" customHeight="1">
      <c r="E903" s="3"/>
      <c r="G903" s="3"/>
    </row>
    <row r="904" ht="15.75" customHeight="1">
      <c r="E904" s="3"/>
      <c r="G904" s="3"/>
    </row>
    <row r="905" ht="15.75" customHeight="1">
      <c r="E905" s="3"/>
      <c r="G905" s="3"/>
    </row>
    <row r="906" ht="15.75" customHeight="1">
      <c r="E906" s="3"/>
      <c r="G906" s="3"/>
    </row>
    <row r="907" ht="15.75" customHeight="1">
      <c r="E907" s="3"/>
      <c r="G907" s="3"/>
    </row>
    <row r="908" ht="15.75" customHeight="1">
      <c r="E908" s="3"/>
      <c r="G908" s="3"/>
    </row>
    <row r="909" ht="15.75" customHeight="1">
      <c r="E909" s="3"/>
      <c r="G909" s="3"/>
    </row>
    <row r="910" ht="15.75" customHeight="1">
      <c r="E910" s="3"/>
      <c r="G910" s="3"/>
    </row>
    <row r="911" ht="15.75" customHeight="1">
      <c r="E911" s="3"/>
      <c r="G911" s="3"/>
    </row>
    <row r="912" ht="15.75" customHeight="1">
      <c r="E912" s="3"/>
      <c r="G912" s="3"/>
    </row>
    <row r="913" ht="15.75" customHeight="1">
      <c r="E913" s="3"/>
      <c r="G913" s="3"/>
    </row>
    <row r="914" ht="15.75" customHeight="1">
      <c r="E914" s="3"/>
      <c r="G914" s="3"/>
    </row>
    <row r="915" ht="15.75" customHeight="1">
      <c r="E915" s="3"/>
      <c r="G915" s="3"/>
    </row>
    <row r="916" ht="15.75" customHeight="1">
      <c r="E916" s="3"/>
      <c r="G916" s="3"/>
    </row>
    <row r="917" ht="15.75" customHeight="1">
      <c r="E917" s="3"/>
      <c r="G917" s="3"/>
    </row>
    <row r="918" ht="15.75" customHeight="1">
      <c r="E918" s="3"/>
      <c r="G918" s="3"/>
    </row>
    <row r="919" ht="15.75" customHeight="1">
      <c r="E919" s="3"/>
      <c r="G919" s="3"/>
    </row>
    <row r="920" ht="15.75" customHeight="1">
      <c r="E920" s="3"/>
      <c r="G920" s="3"/>
    </row>
    <row r="921" ht="15.75" customHeight="1">
      <c r="E921" s="3"/>
      <c r="G921" s="3"/>
    </row>
    <row r="922" ht="15.75" customHeight="1">
      <c r="E922" s="3"/>
      <c r="G922" s="3"/>
    </row>
    <row r="923" ht="15.75" customHeight="1">
      <c r="E923" s="3"/>
      <c r="G923" s="3"/>
    </row>
    <row r="924" ht="15.75" customHeight="1">
      <c r="E924" s="3"/>
      <c r="G924" s="3"/>
    </row>
    <row r="925" ht="15.75" customHeight="1">
      <c r="E925" s="3"/>
      <c r="G925" s="3"/>
    </row>
    <row r="926" ht="15.75" customHeight="1">
      <c r="E926" s="3"/>
      <c r="G926" s="3"/>
    </row>
    <row r="927" ht="15.75" customHeight="1">
      <c r="E927" s="3"/>
      <c r="G927" s="3"/>
    </row>
    <row r="928" ht="15.75" customHeight="1">
      <c r="E928" s="3"/>
      <c r="G928" s="3"/>
    </row>
    <row r="929" ht="15.75" customHeight="1">
      <c r="E929" s="3"/>
      <c r="G929" s="3"/>
    </row>
    <row r="930" ht="15.75" customHeight="1">
      <c r="E930" s="3"/>
      <c r="G930" s="3"/>
    </row>
    <row r="931" ht="15.75" customHeight="1">
      <c r="E931" s="3"/>
      <c r="G931" s="3"/>
    </row>
    <row r="932" ht="15.75" customHeight="1">
      <c r="E932" s="3"/>
      <c r="G932" s="3"/>
    </row>
    <row r="933" ht="15.75" customHeight="1">
      <c r="E933" s="3"/>
      <c r="G933" s="3"/>
    </row>
    <row r="934" ht="15.75" customHeight="1">
      <c r="E934" s="3"/>
      <c r="G934" s="3"/>
    </row>
    <row r="935" ht="15.75" customHeight="1">
      <c r="E935" s="3"/>
      <c r="G935" s="3"/>
    </row>
    <row r="936" ht="15.75" customHeight="1">
      <c r="E936" s="3"/>
      <c r="G936" s="3"/>
    </row>
    <row r="937" ht="15.75" customHeight="1">
      <c r="E937" s="3"/>
      <c r="G937" s="3"/>
    </row>
    <row r="938" ht="15.75" customHeight="1">
      <c r="E938" s="3"/>
      <c r="G938" s="3"/>
    </row>
    <row r="939" ht="15.75" customHeight="1">
      <c r="E939" s="3"/>
      <c r="G939" s="3"/>
    </row>
    <row r="940" ht="15.75" customHeight="1">
      <c r="E940" s="3"/>
      <c r="G940" s="3"/>
    </row>
    <row r="941" ht="15.75" customHeight="1">
      <c r="E941" s="3"/>
      <c r="G941" s="3"/>
    </row>
    <row r="942" ht="15.75" customHeight="1">
      <c r="E942" s="3"/>
      <c r="G942" s="3"/>
    </row>
    <row r="943" ht="15.75" customHeight="1">
      <c r="E943" s="3"/>
      <c r="G943" s="3"/>
    </row>
    <row r="944" ht="15.75" customHeight="1">
      <c r="E944" s="3"/>
      <c r="G944" s="3"/>
    </row>
    <row r="945" ht="15.75" customHeight="1">
      <c r="E945" s="3"/>
      <c r="G945" s="3"/>
    </row>
    <row r="946" ht="15.75" customHeight="1">
      <c r="E946" s="3"/>
      <c r="G946" s="3"/>
    </row>
    <row r="947" ht="15.75" customHeight="1">
      <c r="E947" s="3"/>
      <c r="G947" s="3"/>
    </row>
    <row r="948" ht="15.75" customHeight="1">
      <c r="E948" s="3"/>
      <c r="G948" s="3"/>
    </row>
    <row r="949" ht="15.75" customHeight="1">
      <c r="E949" s="3"/>
      <c r="G949" s="3"/>
    </row>
    <row r="950" ht="15.75" customHeight="1">
      <c r="E950" s="3"/>
      <c r="G950" s="3"/>
    </row>
    <row r="951" ht="15.75" customHeight="1">
      <c r="E951" s="3"/>
      <c r="G951" s="3"/>
    </row>
    <row r="952" ht="15.75" customHeight="1">
      <c r="E952" s="3"/>
      <c r="G952" s="3"/>
    </row>
    <row r="953" ht="15.75" customHeight="1">
      <c r="E953" s="3"/>
      <c r="G953" s="3"/>
    </row>
    <row r="954" ht="15.75" customHeight="1">
      <c r="E954" s="3"/>
      <c r="G954" s="3"/>
    </row>
    <row r="955" ht="15.75" customHeight="1">
      <c r="E955" s="3"/>
      <c r="G955" s="3"/>
    </row>
    <row r="956" ht="15.75" customHeight="1">
      <c r="E956" s="3"/>
      <c r="G956" s="3"/>
    </row>
    <row r="957" ht="15.75" customHeight="1">
      <c r="E957" s="3"/>
      <c r="G957" s="3"/>
    </row>
    <row r="958" ht="15.75" customHeight="1">
      <c r="E958" s="3"/>
      <c r="G958" s="3"/>
    </row>
    <row r="959" ht="15.75" customHeight="1">
      <c r="E959" s="3"/>
      <c r="G959" s="3"/>
    </row>
    <row r="960" ht="15.75" customHeight="1">
      <c r="E960" s="3"/>
      <c r="G960" s="3"/>
    </row>
    <row r="961" ht="15.75" customHeight="1">
      <c r="E961" s="3"/>
      <c r="G961" s="3"/>
    </row>
    <row r="962" ht="15.75" customHeight="1">
      <c r="E962" s="3"/>
      <c r="G962" s="3"/>
    </row>
    <row r="963" ht="15.75" customHeight="1">
      <c r="E963" s="3"/>
      <c r="G963" s="3"/>
    </row>
    <row r="964" ht="15.75" customHeight="1">
      <c r="E964" s="3"/>
      <c r="G964" s="3"/>
    </row>
    <row r="965" ht="15.75" customHeight="1">
      <c r="E965" s="3"/>
      <c r="G965" s="3"/>
    </row>
    <row r="966" ht="15.75" customHeight="1">
      <c r="E966" s="3"/>
      <c r="G966" s="3"/>
    </row>
    <row r="967" ht="15.75" customHeight="1">
      <c r="E967" s="3"/>
      <c r="G967" s="3"/>
    </row>
    <row r="968" ht="15.75" customHeight="1">
      <c r="E968" s="3"/>
      <c r="G968" s="3"/>
    </row>
    <row r="969" ht="15.75" customHeight="1">
      <c r="E969" s="3"/>
      <c r="G969" s="3"/>
    </row>
    <row r="970" ht="15.75" customHeight="1">
      <c r="E970" s="3"/>
      <c r="G970" s="3"/>
    </row>
    <row r="971" ht="15.75" customHeight="1">
      <c r="E971" s="3"/>
      <c r="G971" s="3"/>
    </row>
    <row r="972" ht="15.75" customHeight="1">
      <c r="E972" s="3"/>
      <c r="G972" s="3"/>
    </row>
    <row r="973" ht="15.75" customHeight="1">
      <c r="E973" s="3"/>
      <c r="G973" s="3"/>
    </row>
    <row r="974" ht="15.75" customHeight="1">
      <c r="E974" s="3"/>
      <c r="G974" s="3"/>
    </row>
    <row r="975" ht="15.75" customHeight="1">
      <c r="E975" s="3"/>
      <c r="G975" s="3"/>
    </row>
    <row r="976" ht="15.75" customHeight="1">
      <c r="E976" s="3"/>
      <c r="G976" s="3"/>
    </row>
    <row r="977" ht="15.75" customHeight="1">
      <c r="E977" s="3"/>
      <c r="G977" s="3"/>
    </row>
    <row r="978" ht="15.75" customHeight="1">
      <c r="E978" s="3"/>
      <c r="G978" s="3"/>
    </row>
    <row r="979" ht="15.75" customHeight="1">
      <c r="E979" s="3"/>
      <c r="G979" s="3"/>
    </row>
    <row r="980" ht="15.75" customHeight="1">
      <c r="E980" s="3"/>
      <c r="G980" s="3"/>
    </row>
    <row r="981" ht="15.75" customHeight="1">
      <c r="E981" s="3"/>
      <c r="G981" s="3"/>
    </row>
    <row r="982" ht="15.75" customHeight="1">
      <c r="E982" s="3"/>
      <c r="G982" s="3"/>
    </row>
    <row r="983" ht="15.75" customHeight="1">
      <c r="E983" s="3"/>
      <c r="G983" s="3"/>
    </row>
    <row r="984" ht="15.75" customHeight="1">
      <c r="E984" s="3"/>
      <c r="G984" s="3"/>
    </row>
    <row r="985" ht="15.75" customHeight="1">
      <c r="E985" s="3"/>
      <c r="G985" s="3"/>
    </row>
    <row r="986" ht="15.75" customHeight="1">
      <c r="E986" s="3"/>
      <c r="G986" s="3"/>
    </row>
    <row r="987" ht="15.75" customHeight="1">
      <c r="E987" s="3"/>
      <c r="G987" s="3"/>
    </row>
    <row r="988" ht="15.75" customHeight="1">
      <c r="E988" s="3"/>
      <c r="G988" s="3"/>
    </row>
    <row r="989" ht="15.75" customHeight="1">
      <c r="E989" s="3"/>
      <c r="G989" s="3"/>
    </row>
    <row r="990" ht="15.75" customHeight="1">
      <c r="E990" s="3"/>
      <c r="G990" s="3"/>
    </row>
    <row r="991" ht="15.75" customHeight="1">
      <c r="E991" s="3"/>
      <c r="G991" s="3"/>
    </row>
    <row r="992" ht="15.75" customHeight="1">
      <c r="E992" s="3"/>
      <c r="G992" s="3"/>
    </row>
    <row r="993" ht="15.75" customHeight="1">
      <c r="E993" s="3"/>
      <c r="G993" s="3"/>
    </row>
    <row r="994" ht="15.75" customHeight="1">
      <c r="E994" s="3"/>
      <c r="G994" s="3"/>
    </row>
    <row r="995" ht="15.75" customHeight="1">
      <c r="E995" s="3"/>
      <c r="G995" s="3"/>
    </row>
    <row r="996" ht="15.75" customHeight="1">
      <c r="E996" s="3"/>
      <c r="G996" s="3"/>
    </row>
    <row r="997" ht="15.75" customHeight="1">
      <c r="E997" s="3"/>
      <c r="G997" s="3"/>
    </row>
    <row r="998" ht="15.75" customHeight="1">
      <c r="E998" s="3"/>
      <c r="G998" s="3"/>
    </row>
    <row r="999" ht="15.75" customHeight="1">
      <c r="E999" s="3"/>
      <c r="G999" s="3"/>
    </row>
    <row r="1000" ht="15.75" customHeight="1">
      <c r="E1000" s="3"/>
      <c r="G1000" s="3"/>
    </row>
    <row r="1001" ht="15.75" customHeight="1">
      <c r="E1001" s="3"/>
      <c r="G1001" s="3"/>
    </row>
    <row r="1002" ht="15.75" customHeight="1">
      <c r="E1002" s="3"/>
      <c r="G1002" s="3"/>
    </row>
    <row r="1003" ht="15.75" customHeight="1">
      <c r="E1003" s="3"/>
      <c r="G1003" s="3"/>
    </row>
    <row r="1004" ht="15.75" customHeight="1">
      <c r="E1004" s="3"/>
      <c r="G1004" s="3"/>
    </row>
    <row r="1005" ht="15.75" customHeight="1">
      <c r="E1005" s="3"/>
      <c r="G1005" s="3"/>
    </row>
    <row r="1006" ht="15.75" customHeight="1">
      <c r="E1006" s="3"/>
      <c r="G1006" s="3"/>
    </row>
    <row r="1007" ht="15.75" customHeight="1">
      <c r="E1007" s="3"/>
      <c r="G1007" s="3"/>
    </row>
    <row r="1008" ht="15.75" customHeight="1">
      <c r="E1008" s="3"/>
      <c r="G1008" s="3"/>
    </row>
    <row r="1009" ht="15.75" customHeight="1">
      <c r="E1009" s="3"/>
      <c r="G1009" s="3"/>
    </row>
    <row r="1010" ht="15.75" customHeight="1">
      <c r="E1010" s="3"/>
      <c r="G1010" s="3"/>
    </row>
    <row r="1011" ht="15.75" customHeight="1">
      <c r="E1011" s="3"/>
      <c r="G1011" s="3"/>
    </row>
    <row r="1012" ht="15.75" customHeight="1">
      <c r="E1012" s="3"/>
      <c r="G1012" s="3"/>
    </row>
    <row r="1013" ht="15.75" customHeight="1">
      <c r="E1013" s="3"/>
      <c r="G1013" s="3"/>
    </row>
    <row r="1014" ht="15.75" customHeight="1">
      <c r="E1014" s="3"/>
      <c r="G1014" s="3"/>
    </row>
    <row r="1015" ht="15.75" customHeight="1">
      <c r="E1015" s="3"/>
      <c r="G1015" s="3"/>
    </row>
    <row r="1016" ht="15.75" customHeight="1">
      <c r="E1016" s="3"/>
      <c r="G1016" s="3"/>
    </row>
    <row r="1017" ht="15.75" customHeight="1">
      <c r="E1017" s="3"/>
      <c r="G1017" s="3"/>
    </row>
    <row r="1018" ht="15.75" customHeight="1">
      <c r="E1018" s="3"/>
      <c r="G1018" s="3"/>
    </row>
    <row r="1019" ht="15.75" customHeight="1">
      <c r="E1019" s="3"/>
      <c r="G1019" s="3"/>
    </row>
    <row r="1020" ht="15.75" customHeight="1">
      <c r="E1020" s="3"/>
      <c r="G1020" s="3"/>
    </row>
    <row r="1021" ht="15.75" customHeight="1">
      <c r="E1021" s="3"/>
      <c r="G1021" s="3"/>
    </row>
    <row r="1022" ht="15.75" customHeight="1">
      <c r="E1022" s="3"/>
      <c r="G1022" s="3"/>
    </row>
    <row r="1023" ht="15.75" customHeight="1">
      <c r="E1023" s="3"/>
      <c r="G1023" s="3"/>
    </row>
    <row r="1024" ht="15.75" customHeight="1">
      <c r="E1024" s="3"/>
      <c r="G1024" s="3"/>
    </row>
    <row r="1025" ht="15.75" customHeight="1">
      <c r="E1025" s="3"/>
      <c r="G1025" s="3"/>
    </row>
    <row r="1026" ht="15.75" customHeight="1">
      <c r="E1026" s="3"/>
      <c r="G1026" s="3"/>
    </row>
    <row r="1027" ht="15.75" customHeight="1">
      <c r="E1027" s="3"/>
      <c r="G1027" s="3"/>
    </row>
    <row r="1028" ht="15.75" customHeight="1">
      <c r="E1028" s="3"/>
      <c r="G1028" s="3"/>
    </row>
    <row r="1029" ht="15.75" customHeight="1">
      <c r="E1029" s="3"/>
      <c r="G1029" s="3"/>
    </row>
    <row r="1030" ht="15.75" customHeight="1">
      <c r="E1030" s="3"/>
      <c r="G1030" s="3"/>
    </row>
    <row r="1031" ht="15.75" customHeight="1">
      <c r="E1031" s="3"/>
      <c r="G1031" s="3"/>
    </row>
    <row r="1032" ht="15.75" customHeight="1">
      <c r="E1032" s="3"/>
      <c r="G1032" s="3"/>
    </row>
    <row r="1033" ht="15.75" customHeight="1">
      <c r="E1033" s="3"/>
      <c r="G1033" s="3"/>
    </row>
    <row r="1034" ht="15.75" customHeight="1">
      <c r="E1034" s="3"/>
      <c r="G1034" s="3"/>
    </row>
    <row r="1035" ht="15.75" customHeight="1">
      <c r="E1035" s="3"/>
      <c r="G1035" s="3"/>
    </row>
    <row r="1036" ht="15.75" customHeight="1">
      <c r="E1036" s="3"/>
      <c r="G1036" s="3"/>
    </row>
    <row r="1037" ht="15.75" customHeight="1">
      <c r="E1037" s="3"/>
      <c r="G1037" s="3"/>
    </row>
    <row r="1038" ht="15.75" customHeight="1">
      <c r="E1038" s="3"/>
      <c r="G1038" s="3"/>
    </row>
    <row r="1039" ht="15.75" customHeight="1">
      <c r="E1039" s="3"/>
      <c r="G1039" s="3"/>
    </row>
    <row r="1040" ht="15.75" customHeight="1">
      <c r="E1040" s="3"/>
      <c r="G1040" s="3"/>
    </row>
    <row r="1041" ht="15.75" customHeight="1">
      <c r="E1041" s="3"/>
      <c r="G1041" s="3"/>
    </row>
    <row r="1042" ht="15.75" customHeight="1">
      <c r="E1042" s="3"/>
      <c r="G1042" s="3"/>
    </row>
    <row r="1043" ht="15.75" customHeight="1">
      <c r="E1043" s="3"/>
      <c r="G1043" s="3"/>
    </row>
    <row r="1044" ht="15.75" customHeight="1">
      <c r="E1044" s="3"/>
      <c r="G1044" s="3"/>
    </row>
    <row r="1045" ht="15.75" customHeight="1">
      <c r="E1045" s="3"/>
      <c r="G1045" s="3"/>
    </row>
    <row r="1046" ht="15.75" customHeight="1">
      <c r="E1046" s="3"/>
      <c r="G1046" s="3"/>
    </row>
    <row r="1047" ht="15.75" customHeight="1">
      <c r="E1047" s="3"/>
      <c r="G1047" s="3"/>
    </row>
    <row r="1048" ht="15.75" customHeight="1">
      <c r="E1048" s="3"/>
      <c r="G1048" s="3"/>
    </row>
    <row r="1049" ht="15.75" customHeight="1">
      <c r="E1049" s="3"/>
      <c r="G1049" s="3"/>
    </row>
    <row r="1050" ht="15.75" customHeight="1">
      <c r="E1050" s="3"/>
      <c r="G1050" s="3"/>
    </row>
    <row r="1051" ht="15.75" customHeight="1">
      <c r="E1051" s="3"/>
      <c r="G1051" s="3"/>
    </row>
    <row r="1052" ht="15.75" customHeight="1">
      <c r="E1052" s="3"/>
      <c r="G1052" s="3"/>
    </row>
    <row r="1053" ht="15.75" customHeight="1">
      <c r="E1053" s="3"/>
      <c r="G1053" s="3"/>
    </row>
    <row r="1054" ht="15.75" customHeight="1">
      <c r="E1054" s="3"/>
      <c r="G1054" s="3"/>
    </row>
    <row r="1055" ht="15.75" customHeight="1">
      <c r="E1055" s="3"/>
      <c r="G1055" s="3"/>
    </row>
    <row r="1056" ht="15.75" customHeight="1">
      <c r="E1056" s="3"/>
      <c r="G1056" s="3"/>
    </row>
    <row r="1057" ht="15.75" customHeight="1">
      <c r="E1057" s="3"/>
      <c r="G1057" s="3"/>
    </row>
    <row r="1058" ht="15.75" customHeight="1">
      <c r="E1058" s="3"/>
      <c r="G1058" s="3"/>
    </row>
    <row r="1059" ht="15.75" customHeight="1">
      <c r="E1059" s="3"/>
      <c r="G1059" s="3"/>
    </row>
    <row r="1060" ht="15.75" customHeight="1">
      <c r="E1060" s="3"/>
      <c r="G1060" s="3"/>
    </row>
    <row r="1061" ht="15.75" customHeight="1">
      <c r="E1061" s="3"/>
      <c r="G1061" s="3"/>
    </row>
    <row r="1062" ht="15.75" customHeight="1">
      <c r="E1062" s="3"/>
      <c r="G1062" s="3"/>
    </row>
    <row r="1063" ht="15.75" customHeight="1">
      <c r="E1063" s="3"/>
      <c r="G1063" s="3"/>
    </row>
    <row r="1064" ht="15.75" customHeight="1">
      <c r="E1064" s="3"/>
      <c r="G1064" s="3"/>
    </row>
    <row r="1065" ht="15.75" customHeight="1">
      <c r="E1065" s="3"/>
      <c r="G1065" s="3"/>
    </row>
    <row r="1066" ht="15.75" customHeight="1">
      <c r="E1066" s="3"/>
      <c r="G1066" s="3"/>
    </row>
    <row r="1067" ht="15.75" customHeight="1">
      <c r="E1067" s="3"/>
      <c r="G1067" s="3"/>
    </row>
    <row r="1068" ht="15.75" customHeight="1">
      <c r="E1068" s="3"/>
      <c r="G1068" s="3"/>
    </row>
    <row r="1069" ht="15.75" customHeight="1">
      <c r="E1069" s="3"/>
      <c r="G1069" s="3"/>
    </row>
    <row r="1070" ht="15.75" customHeight="1">
      <c r="E1070" s="3"/>
      <c r="G1070" s="3"/>
    </row>
    <row r="1071" ht="15.75" customHeight="1">
      <c r="E1071" s="3"/>
      <c r="G1071" s="3"/>
    </row>
    <row r="1072" ht="15.75" customHeight="1">
      <c r="E1072" s="3"/>
      <c r="G1072" s="3"/>
    </row>
    <row r="1073" ht="15.75" customHeight="1">
      <c r="E1073" s="3"/>
      <c r="G1073" s="3"/>
    </row>
    <row r="1074" ht="15.75" customHeight="1">
      <c r="E1074" s="3"/>
      <c r="G1074" s="3"/>
    </row>
    <row r="1075" ht="15.75" customHeight="1">
      <c r="E1075" s="3"/>
      <c r="G1075" s="3"/>
    </row>
    <row r="1076" ht="15.75" customHeight="1">
      <c r="E1076" s="3"/>
      <c r="G1076" s="3"/>
    </row>
    <row r="1077" ht="15.75" customHeight="1">
      <c r="E1077" s="3"/>
      <c r="G1077" s="3"/>
    </row>
    <row r="1078" ht="15.75" customHeight="1">
      <c r="E1078" s="3"/>
      <c r="G1078" s="3"/>
    </row>
    <row r="1079" ht="15.75" customHeight="1">
      <c r="E1079" s="3"/>
      <c r="G1079" s="3"/>
    </row>
    <row r="1080" ht="15.75" customHeight="1">
      <c r="E1080" s="3"/>
      <c r="G1080" s="3"/>
    </row>
    <row r="1081" ht="15.75" customHeight="1">
      <c r="E1081" s="3"/>
      <c r="G1081" s="3"/>
    </row>
    <row r="1082" ht="15.75" customHeight="1">
      <c r="E1082" s="3"/>
      <c r="G1082" s="3"/>
    </row>
    <row r="1083" ht="15.75" customHeight="1">
      <c r="E1083" s="3"/>
      <c r="G1083" s="3"/>
    </row>
    <row r="1084" ht="15.75" customHeight="1">
      <c r="E1084" s="3"/>
      <c r="G1084" s="3"/>
    </row>
    <row r="1085" ht="15.75" customHeight="1">
      <c r="E1085" s="3"/>
      <c r="G1085" s="3"/>
    </row>
    <row r="1086" ht="15.75" customHeight="1">
      <c r="E1086" s="3"/>
      <c r="G1086" s="3"/>
    </row>
    <row r="1087" ht="15.75" customHeight="1">
      <c r="E1087" s="3"/>
      <c r="G1087" s="3"/>
    </row>
    <row r="1088" ht="15.75" customHeight="1">
      <c r="E1088" s="3"/>
      <c r="G1088" s="3"/>
    </row>
    <row r="1089" ht="15.75" customHeight="1">
      <c r="E1089" s="3"/>
      <c r="G1089" s="3"/>
    </row>
    <row r="1090" ht="15.75" customHeight="1">
      <c r="E1090" s="3"/>
      <c r="G1090" s="3"/>
    </row>
    <row r="1091" ht="15.75" customHeight="1">
      <c r="E1091" s="3"/>
      <c r="G1091" s="3"/>
    </row>
    <row r="1092" ht="15.75" customHeight="1">
      <c r="E1092" s="3"/>
      <c r="G1092" s="3"/>
    </row>
    <row r="1093" ht="15.75" customHeight="1">
      <c r="E1093" s="3"/>
      <c r="G1093" s="3"/>
    </row>
    <row r="1094" ht="15.75" customHeight="1">
      <c r="E1094" s="3"/>
      <c r="G1094" s="3"/>
    </row>
    <row r="1095" ht="15.75" customHeight="1">
      <c r="E1095" s="3"/>
      <c r="G1095" s="3"/>
    </row>
    <row r="1096" ht="15.75" customHeight="1">
      <c r="E1096" s="3"/>
      <c r="G1096" s="3"/>
    </row>
    <row r="1097" ht="15.75" customHeight="1">
      <c r="E1097" s="3"/>
      <c r="G1097" s="3"/>
    </row>
    <row r="1098" ht="15.75" customHeight="1">
      <c r="E1098" s="3"/>
      <c r="G1098" s="3"/>
    </row>
    <row r="1099" ht="15.75" customHeight="1">
      <c r="E1099" s="3"/>
      <c r="G1099" s="3"/>
    </row>
    <row r="1100" ht="15.75" customHeight="1">
      <c r="E1100" s="3"/>
      <c r="G1100" s="3"/>
    </row>
    <row r="1101" ht="15.75" customHeight="1">
      <c r="E1101" s="3"/>
      <c r="G1101" s="3"/>
    </row>
    <row r="1102" ht="15.75" customHeight="1">
      <c r="E1102" s="3"/>
      <c r="G1102" s="3"/>
    </row>
    <row r="1103" ht="15.75" customHeight="1">
      <c r="E1103" s="3"/>
      <c r="G1103" s="3"/>
    </row>
    <row r="1104" ht="15.75" customHeight="1">
      <c r="E1104" s="3"/>
      <c r="G1104" s="3"/>
    </row>
    <row r="1105" ht="15.75" customHeight="1">
      <c r="E1105" s="3"/>
      <c r="G1105" s="3"/>
    </row>
    <row r="1106" ht="15.75" customHeight="1">
      <c r="E1106" s="3"/>
      <c r="G1106" s="3"/>
    </row>
    <row r="1107" ht="15.75" customHeight="1">
      <c r="E1107" s="3"/>
      <c r="G1107" s="3"/>
    </row>
    <row r="1108" ht="15.75" customHeight="1">
      <c r="E1108" s="3"/>
      <c r="G1108" s="3"/>
    </row>
    <row r="1109" ht="15.75" customHeight="1">
      <c r="E1109" s="3"/>
      <c r="G1109" s="3"/>
    </row>
    <row r="1110" ht="15.75" customHeight="1">
      <c r="E1110" s="3"/>
      <c r="G1110" s="3"/>
    </row>
    <row r="1111" ht="15.75" customHeight="1">
      <c r="E1111" s="3"/>
      <c r="G1111" s="3"/>
    </row>
    <row r="1112" ht="15.75" customHeight="1">
      <c r="E1112" s="3"/>
      <c r="G1112" s="3"/>
    </row>
    <row r="1113" ht="15.75" customHeight="1">
      <c r="E1113" s="3"/>
      <c r="G1113" s="3"/>
    </row>
    <row r="1114" ht="15.75" customHeight="1">
      <c r="E1114" s="3"/>
      <c r="G1114" s="3"/>
    </row>
    <row r="1115" ht="15.75" customHeight="1">
      <c r="E1115" s="3"/>
      <c r="G1115" s="3"/>
    </row>
    <row r="1116" ht="15.75" customHeight="1">
      <c r="E1116" s="3"/>
      <c r="G1116" s="3"/>
    </row>
    <row r="1117" ht="15.75" customHeight="1">
      <c r="E1117" s="3"/>
      <c r="G1117" s="3"/>
    </row>
    <row r="1118" ht="15.75" customHeight="1">
      <c r="E1118" s="3"/>
      <c r="G1118" s="3"/>
    </row>
    <row r="1119" ht="15.75" customHeight="1">
      <c r="E1119" s="3"/>
      <c r="G1119" s="3"/>
    </row>
    <row r="1120" ht="15.75" customHeight="1">
      <c r="E1120" s="3"/>
      <c r="G1120" s="3"/>
    </row>
    <row r="1121" ht="15.75" customHeight="1">
      <c r="E1121" s="3"/>
      <c r="G1121" s="3"/>
    </row>
    <row r="1122" ht="15.75" customHeight="1">
      <c r="E1122" s="3"/>
      <c r="G1122" s="3"/>
    </row>
    <row r="1123" ht="15.75" customHeight="1">
      <c r="E1123" s="3"/>
      <c r="G1123" s="3"/>
    </row>
    <row r="1124" ht="15.75" customHeight="1">
      <c r="E1124" s="3"/>
      <c r="G1124" s="3"/>
    </row>
    <row r="1125" ht="15.75" customHeight="1">
      <c r="E1125" s="3"/>
      <c r="G1125" s="3"/>
    </row>
    <row r="1126" ht="15.75" customHeight="1">
      <c r="E1126" s="3"/>
      <c r="G1126" s="3"/>
    </row>
    <row r="1127" ht="15.75" customHeight="1">
      <c r="E1127" s="3"/>
      <c r="G1127" s="3"/>
    </row>
    <row r="1128" ht="15.75" customHeight="1">
      <c r="E1128" s="3"/>
      <c r="G1128" s="3"/>
    </row>
    <row r="1129" ht="15.75" customHeight="1">
      <c r="E1129" s="3"/>
      <c r="G1129" s="3"/>
    </row>
    <row r="1130" ht="15.75" customHeight="1">
      <c r="E1130" s="3"/>
      <c r="G1130" s="3"/>
    </row>
    <row r="1131" ht="15.75" customHeight="1">
      <c r="E1131" s="3"/>
      <c r="G1131" s="3"/>
    </row>
    <row r="1132" ht="15.75" customHeight="1">
      <c r="E1132" s="3"/>
      <c r="G1132" s="3"/>
    </row>
    <row r="1133" ht="15.75" customHeight="1">
      <c r="E1133" s="3"/>
      <c r="G1133" s="3"/>
    </row>
    <row r="1134" ht="15.75" customHeight="1">
      <c r="E1134" s="3"/>
      <c r="G1134" s="3"/>
    </row>
    <row r="1135" ht="15.75" customHeight="1">
      <c r="E1135" s="3"/>
      <c r="G1135" s="3"/>
    </row>
    <row r="1136" ht="15.75" customHeight="1">
      <c r="E1136" s="3"/>
      <c r="G1136" s="3"/>
    </row>
    <row r="1137" ht="15.75" customHeight="1">
      <c r="E1137" s="3"/>
      <c r="G1137" s="3"/>
    </row>
    <row r="1138" ht="15.75" customHeight="1">
      <c r="E1138" s="3"/>
      <c r="G1138" s="3"/>
    </row>
    <row r="1139" ht="15.75" customHeight="1">
      <c r="E1139" s="3"/>
      <c r="G1139" s="3"/>
    </row>
    <row r="1140" ht="15.75" customHeight="1">
      <c r="E1140" s="3"/>
      <c r="G1140" s="3"/>
    </row>
    <row r="1141" ht="15.75" customHeight="1">
      <c r="E1141" s="3"/>
      <c r="G1141" s="3"/>
    </row>
    <row r="1142" ht="15.75" customHeight="1">
      <c r="E1142" s="3"/>
      <c r="G1142" s="3"/>
    </row>
    <row r="1143" ht="15.75" customHeight="1">
      <c r="E1143" s="3"/>
      <c r="G1143" s="3"/>
    </row>
    <row r="1144" ht="15.75" customHeight="1">
      <c r="E1144" s="3"/>
      <c r="G1144" s="3"/>
    </row>
    <row r="1145" ht="15.75" customHeight="1">
      <c r="E1145" s="3"/>
      <c r="G1145" s="3"/>
    </row>
    <row r="1146" ht="15.75" customHeight="1">
      <c r="E1146" s="3"/>
      <c r="G1146" s="3"/>
    </row>
    <row r="1147" ht="15.75" customHeight="1">
      <c r="E1147" s="3"/>
      <c r="G1147" s="3"/>
    </row>
    <row r="1148" ht="15.75" customHeight="1">
      <c r="E1148" s="3"/>
      <c r="G1148" s="3"/>
    </row>
    <row r="1149" ht="15.75" customHeight="1">
      <c r="E1149" s="3"/>
      <c r="G1149" s="3"/>
    </row>
    <row r="1150" ht="15.75" customHeight="1">
      <c r="E1150" s="3"/>
      <c r="G1150" s="3"/>
    </row>
    <row r="1151" ht="15.75" customHeight="1">
      <c r="E1151" s="3"/>
      <c r="G1151" s="3"/>
    </row>
    <row r="1152" ht="15.75" customHeight="1">
      <c r="E1152" s="3"/>
      <c r="G1152" s="3"/>
    </row>
    <row r="1153" ht="15.75" customHeight="1">
      <c r="E1153" s="3"/>
      <c r="G1153" s="3"/>
    </row>
    <row r="1154" ht="15.75" customHeight="1">
      <c r="E1154" s="3"/>
      <c r="G1154" s="3"/>
    </row>
    <row r="1155" ht="15.75" customHeight="1">
      <c r="E1155" s="3"/>
      <c r="G1155" s="3"/>
    </row>
    <row r="1156" ht="15.75" customHeight="1">
      <c r="E1156" s="3"/>
      <c r="G1156" s="3"/>
    </row>
    <row r="1157" ht="15.75" customHeight="1">
      <c r="E1157" s="3"/>
      <c r="G1157" s="3"/>
    </row>
    <row r="1158" ht="15.75" customHeight="1">
      <c r="E1158" s="3"/>
      <c r="G1158" s="3"/>
    </row>
    <row r="1159" ht="15.75" customHeight="1">
      <c r="E1159" s="3"/>
      <c r="G1159" s="3"/>
    </row>
    <row r="1160" ht="15.75" customHeight="1">
      <c r="E1160" s="3"/>
      <c r="G1160" s="3"/>
    </row>
    <row r="1161" ht="15.75" customHeight="1">
      <c r="E1161" s="3"/>
      <c r="G1161" s="3"/>
    </row>
    <row r="1162" ht="15.75" customHeight="1">
      <c r="E1162" s="3"/>
      <c r="G1162" s="3"/>
    </row>
    <row r="1163" ht="15.75" customHeight="1">
      <c r="E1163" s="3"/>
      <c r="G1163" s="3"/>
    </row>
    <row r="1164" ht="15.75" customHeight="1">
      <c r="E1164" s="3"/>
      <c r="G1164" s="3"/>
    </row>
    <row r="1165" ht="15.75" customHeight="1">
      <c r="E1165" s="3"/>
      <c r="G1165" s="3"/>
    </row>
    <row r="1166" ht="15.75" customHeight="1">
      <c r="E1166" s="3"/>
      <c r="G1166" s="3"/>
    </row>
    <row r="1167" ht="15.75" customHeight="1">
      <c r="E1167" s="3"/>
      <c r="G1167" s="3"/>
    </row>
    <row r="1168" ht="15.75" customHeight="1">
      <c r="E1168" s="3"/>
      <c r="G1168" s="3"/>
    </row>
    <row r="1169" ht="15.75" customHeight="1">
      <c r="E1169" s="3"/>
      <c r="G1169" s="3"/>
    </row>
    <row r="1170" ht="15.75" customHeight="1">
      <c r="E1170" s="3"/>
      <c r="G1170" s="3"/>
    </row>
    <row r="1171" ht="15.75" customHeight="1">
      <c r="E1171" s="3"/>
      <c r="G1171" s="3"/>
    </row>
    <row r="1172" ht="15.75" customHeight="1">
      <c r="E1172" s="3"/>
      <c r="G1172" s="3"/>
    </row>
    <row r="1173" ht="15.75" customHeight="1">
      <c r="E1173" s="3"/>
      <c r="G1173" s="3"/>
    </row>
    <row r="1174" ht="15.75" customHeight="1">
      <c r="E1174" s="3"/>
      <c r="G1174" s="3"/>
    </row>
    <row r="1175" ht="15.75" customHeight="1">
      <c r="E1175" s="3"/>
      <c r="G1175" s="3"/>
    </row>
    <row r="1176" ht="15.75" customHeight="1">
      <c r="E1176" s="3"/>
      <c r="G1176" s="3"/>
    </row>
    <row r="1177" ht="15.75" customHeight="1">
      <c r="E1177" s="3"/>
      <c r="G1177" s="3"/>
    </row>
    <row r="1178" ht="15.75" customHeight="1">
      <c r="E1178" s="3"/>
      <c r="G1178" s="3"/>
    </row>
    <row r="1179" ht="15.75" customHeight="1">
      <c r="E1179" s="3"/>
      <c r="G1179" s="3"/>
    </row>
    <row r="1180" ht="15.75" customHeight="1">
      <c r="E1180" s="3"/>
      <c r="G1180" s="3"/>
    </row>
    <row r="1181" ht="15.75" customHeight="1">
      <c r="E1181" s="3"/>
      <c r="G1181" s="3"/>
    </row>
    <row r="1182" ht="15.75" customHeight="1">
      <c r="E1182" s="3"/>
      <c r="G1182" s="3"/>
    </row>
    <row r="1183" ht="15.75" customHeight="1">
      <c r="E1183" s="3"/>
      <c r="G1183" s="3"/>
    </row>
    <row r="1184" ht="15.75" customHeight="1">
      <c r="E1184" s="3"/>
      <c r="G1184" s="3"/>
    </row>
    <row r="1185" ht="15.75" customHeight="1">
      <c r="E1185" s="3"/>
      <c r="G1185" s="3"/>
    </row>
    <row r="1186" ht="15.75" customHeight="1">
      <c r="E1186" s="3"/>
      <c r="G1186" s="3"/>
    </row>
    <row r="1187" ht="15.75" customHeight="1">
      <c r="E1187" s="3"/>
      <c r="G1187" s="3"/>
    </row>
    <row r="1188" ht="15.75" customHeight="1">
      <c r="E1188" s="3"/>
      <c r="G1188" s="3"/>
    </row>
    <row r="1189" ht="15.75" customHeight="1">
      <c r="E1189" s="3"/>
      <c r="G1189" s="3"/>
    </row>
    <row r="1190" ht="15.75" customHeight="1">
      <c r="E1190" s="3"/>
      <c r="G1190" s="3"/>
    </row>
    <row r="1191" ht="15.75" customHeight="1">
      <c r="E1191" s="3"/>
      <c r="G1191" s="3"/>
    </row>
    <row r="1192" ht="15.75" customHeight="1">
      <c r="E1192" s="3"/>
      <c r="G1192" s="3"/>
    </row>
    <row r="1193" ht="15.75" customHeight="1">
      <c r="E1193" s="3"/>
      <c r="G1193" s="3"/>
    </row>
    <row r="1194" ht="15.75" customHeight="1">
      <c r="E1194" s="3"/>
      <c r="G1194" s="3"/>
    </row>
    <row r="1195" ht="15.75" customHeight="1">
      <c r="E1195" s="3"/>
      <c r="G1195" s="3"/>
    </row>
    <row r="1196" ht="15.75" customHeight="1">
      <c r="E1196" s="3"/>
      <c r="G1196" s="3"/>
    </row>
    <row r="1197" ht="15.75" customHeight="1">
      <c r="E1197" s="3"/>
      <c r="G1197" s="3"/>
    </row>
    <row r="1198" ht="15.75" customHeight="1">
      <c r="E1198" s="3"/>
      <c r="G1198" s="3"/>
    </row>
    <row r="1199" ht="15.75" customHeight="1">
      <c r="E1199" s="3"/>
      <c r="G1199" s="3"/>
    </row>
    <row r="1200" ht="15.75" customHeight="1">
      <c r="E1200" s="3"/>
      <c r="G1200" s="3"/>
    </row>
    <row r="1201" ht="15.75" customHeight="1">
      <c r="E1201" s="3"/>
      <c r="G1201" s="3"/>
    </row>
    <row r="1202" ht="15.75" customHeight="1">
      <c r="E1202" s="3"/>
      <c r="G1202" s="3"/>
    </row>
    <row r="1203" ht="15.75" customHeight="1">
      <c r="E1203" s="3"/>
      <c r="G1203" s="3"/>
    </row>
  </sheetData>
  <mergeCells count="17">
    <mergeCell ref="A1:H1"/>
    <mergeCell ref="A4:A9"/>
    <mergeCell ref="A11:A17"/>
    <mergeCell ref="A19:A32"/>
    <mergeCell ref="A34:A51"/>
    <mergeCell ref="A53:A102"/>
    <mergeCell ref="A104:A137"/>
    <mergeCell ref="A245:A249"/>
    <mergeCell ref="A251:A255"/>
    <mergeCell ref="A257:A261"/>
    <mergeCell ref="A139:A187"/>
    <mergeCell ref="A189:A212"/>
    <mergeCell ref="A214:A218"/>
    <mergeCell ref="A220:A224"/>
    <mergeCell ref="A226:A230"/>
    <mergeCell ref="A232:A236"/>
    <mergeCell ref="A238:A242"/>
  </mergeCells>
  <hyperlinks>
    <hyperlink r:id="rId1" ref="F5"/>
    <hyperlink r:id="rId2" ref="F12"/>
    <hyperlink r:id="rId3" ref="F20"/>
    <hyperlink r:id="rId4" ref="F24"/>
    <hyperlink r:id="rId5" ref="F34"/>
  </hyperlinks>
  <printOptions/>
  <pageMargins bottom="0.787401575" footer="0.0" header="0.0" left="0.511811024" right="0.511811024" top="0.787401575"/>
  <pageSetup paperSize="9"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2024-09-01T18:22:46Z</dcterms:created>
  <dc:creator>User</dc:creator>
</cp:coreProperties>
</file>